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666D208B-8782-405F-92BF-76F5B733D13D}" xr6:coauthVersionLast="47" xr6:coauthVersionMax="47" xr10:uidLastSave="{00000000-0000-0000-0000-000000000000}"/>
  <bookViews>
    <workbookView xWindow="-120" yWindow="-120" windowWidth="24240" windowHeight="13020" activeTab="3" xr2:uid="{3882C52B-09A6-47D1-94BA-1F6173569800}"/>
  </bookViews>
  <sheets>
    <sheet name="Validate_2020" sheetId="2" r:id="rId1"/>
    <sheet name="Herd_decision_tree" sheetId="4" r:id="rId2"/>
    <sheet name="Projections" sheetId="3" r:id="rId3"/>
    <sheet name="Carrying_Capacity" sheetId="7" r:id="rId4"/>
    <sheet name="NPP" sheetId="8" r:id="rId5"/>
    <sheet name="ZS_Summary" sheetId="6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8" l="1"/>
  <c r="E24" i="8"/>
  <c r="C24" i="8"/>
  <c r="E20" i="8"/>
  <c r="H28" i="8" s="1"/>
  <c r="D20" i="8"/>
  <c r="C20" i="8"/>
  <c r="G24" i="8"/>
  <c r="G15" i="8"/>
  <c r="H15" i="8"/>
  <c r="G16" i="8"/>
  <c r="H16" i="8"/>
  <c r="G17" i="8"/>
  <c r="H17" i="8"/>
  <c r="D28" i="8"/>
  <c r="D30" i="8" s="1"/>
  <c r="E29" i="8"/>
  <c r="D29" i="8"/>
  <c r="E28" i="8"/>
  <c r="C28" i="8"/>
  <c r="G11" i="8"/>
  <c r="H11" i="8"/>
  <c r="G12" i="8"/>
  <c r="H12" i="8"/>
  <c r="G13" i="8"/>
  <c r="H13" i="8"/>
  <c r="F12" i="8"/>
  <c r="F13" i="8"/>
  <c r="F11" i="8"/>
  <c r="F16" i="8"/>
  <c r="F17" i="8"/>
  <c r="F15" i="8"/>
  <c r="I4" i="7"/>
  <c r="D34" i="7"/>
  <c r="E34" i="7"/>
  <c r="C34" i="7"/>
  <c r="C43" i="7" s="1"/>
  <c r="C14" i="7"/>
  <c r="H29" i="8"/>
  <c r="C29" i="8"/>
  <c r="F29" i="8"/>
  <c r="G29" i="8"/>
  <c r="G25" i="8"/>
  <c r="H25" i="8"/>
  <c r="F25" i="8"/>
  <c r="D25" i="8"/>
  <c r="E25" i="8"/>
  <c r="C25" i="8"/>
  <c r="E16" i="8"/>
  <c r="E17" i="8"/>
  <c r="E15" i="8"/>
  <c r="D17" i="8"/>
  <c r="D16" i="8"/>
  <c r="D15" i="8"/>
  <c r="C17" i="8"/>
  <c r="C16" i="8"/>
  <c r="C15" i="8"/>
  <c r="I5" i="7"/>
  <c r="G7" i="2"/>
  <c r="C27" i="7" s="1"/>
  <c r="C32" i="7" s="1"/>
  <c r="C31" i="7"/>
  <c r="C30" i="7"/>
  <c r="C21" i="7"/>
  <c r="C21" i="8"/>
  <c r="E13" i="8"/>
  <c r="E12" i="8"/>
  <c r="E11" i="8"/>
  <c r="D13" i="8"/>
  <c r="D12" i="8"/>
  <c r="D11" i="8"/>
  <c r="C13" i="8"/>
  <c r="C12" i="8"/>
  <c r="C11" i="8"/>
  <c r="E12" i="7"/>
  <c r="D12" i="7"/>
  <c r="C12" i="7"/>
  <c r="D8" i="7"/>
  <c r="C8" i="7"/>
  <c r="D21" i="8"/>
  <c r="E21" i="8"/>
  <c r="E9" i="8"/>
  <c r="E8" i="8"/>
  <c r="E7" i="8"/>
  <c r="D9" i="8"/>
  <c r="D8" i="8"/>
  <c r="L15" i="8"/>
  <c r="C2" i="8"/>
  <c r="C9" i="8"/>
  <c r="C8" i="8"/>
  <c r="D7" i="8"/>
  <c r="C7" i="8"/>
  <c r="F24" i="8" l="1"/>
  <c r="H24" i="8"/>
  <c r="F28" i="8"/>
  <c r="G28" i="8"/>
  <c r="B25" i="8" l="1"/>
  <c r="B29" i="8" s="1"/>
  <c r="B26" i="8"/>
  <c r="B30" i="8" s="1"/>
  <c r="B24" i="8"/>
  <c r="B28" i="8" s="1"/>
  <c r="D5" i="4"/>
  <c r="C5" i="4"/>
  <c r="B5" i="4"/>
  <c r="E8" i="7"/>
  <c r="B6" i="4"/>
  <c r="E6" i="4" s="1"/>
  <c r="C7" i="7"/>
  <c r="C26" i="7" s="1"/>
  <c r="C7" i="3"/>
  <c r="C35" i="4"/>
  <c r="D7" i="7" s="1"/>
  <c r="D11" i="7" s="1"/>
  <c r="B35" i="4"/>
  <c r="D4" i="4"/>
  <c r="D35" i="4" s="1"/>
  <c r="C4" i="4"/>
  <c r="B4" i="4"/>
  <c r="B3" i="4"/>
  <c r="B2" i="4"/>
  <c r="D3" i="4"/>
  <c r="D2" i="4"/>
  <c r="C3" i="4"/>
  <c r="C2" i="4"/>
  <c r="E3" i="8" l="1"/>
  <c r="D3" i="8"/>
  <c r="C4" i="8"/>
  <c r="E4" i="8"/>
  <c r="E2" i="8"/>
  <c r="D4" i="8"/>
  <c r="D2" i="8"/>
  <c r="C3" i="8"/>
  <c r="L16" i="8"/>
  <c r="E27" i="7"/>
  <c r="E32" i="7" s="1"/>
  <c r="D27" i="7"/>
  <c r="D32" i="7" s="1"/>
  <c r="C11" i="7"/>
  <c r="E5" i="4"/>
  <c r="E7" i="7"/>
  <c r="E35" i="4"/>
  <c r="B7" i="3" s="1"/>
  <c r="D7" i="3"/>
  <c r="E7" i="3" s="1"/>
  <c r="C22" i="8" l="1"/>
  <c r="D22" i="8"/>
  <c r="E22" i="8"/>
  <c r="E11" i="7"/>
  <c r="E26" i="7"/>
  <c r="E31" i="7" s="1"/>
  <c r="E16" i="7" l="1"/>
  <c r="C16" i="7"/>
  <c r="D16" i="7"/>
  <c r="G26" i="8"/>
  <c r="C26" i="8"/>
  <c r="C36" i="7" s="1"/>
  <c r="C39" i="7" s="1"/>
  <c r="D26" i="8"/>
  <c r="D36" i="7" s="1"/>
  <c r="C30" i="8"/>
  <c r="I9" i="4"/>
  <c r="I8" i="4"/>
  <c r="D14" i="4" s="1"/>
  <c r="E3" i="7" s="1"/>
  <c r="I7" i="4"/>
  <c r="B10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F26" i="8" l="1"/>
  <c r="C45" i="7"/>
  <c r="F30" i="8"/>
  <c r="D45" i="7"/>
  <c r="G30" i="8"/>
  <c r="E30" i="8"/>
  <c r="E26" i="8"/>
  <c r="G4" i="2"/>
  <c r="E36" i="7" l="1"/>
  <c r="H26" i="8"/>
  <c r="E45" i="7"/>
  <c r="H30" i="8"/>
  <c r="D23" i="7"/>
  <c r="C23" i="7"/>
  <c r="G2" i="2"/>
  <c r="E21" i="7" s="1"/>
  <c r="D2" i="2"/>
  <c r="G6" i="2"/>
  <c r="G3" i="2"/>
  <c r="G5" i="2"/>
  <c r="C22" i="7" l="1"/>
  <c r="E22" i="7"/>
  <c r="D4" i="2"/>
  <c r="D5" i="2"/>
  <c r="D6" i="2"/>
  <c r="D3" i="2"/>
  <c r="E48" i="4" l="1"/>
  <c r="B5" i="6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23" i="7" l="1"/>
  <c r="D8" i="2"/>
  <c r="E2" i="2" s="1"/>
  <c r="F2" i="2" s="1"/>
  <c r="I13" i="4"/>
  <c r="D19" i="4" s="1"/>
  <c r="I12" i="4"/>
  <c r="I11" i="4"/>
  <c r="D6" i="4"/>
  <c r="C6" i="4"/>
  <c r="D16" i="4" l="1"/>
  <c r="D43" i="4" s="1"/>
  <c r="C14" i="4"/>
  <c r="D3" i="7" s="1"/>
  <c r="D22" i="7" s="1"/>
  <c r="E3" i="2"/>
  <c r="E6" i="2"/>
  <c r="F6" i="2" s="1"/>
  <c r="E5" i="2"/>
  <c r="F5" i="2" s="1"/>
  <c r="E4" i="2"/>
  <c r="F4" i="2" s="1"/>
  <c r="C10" i="4"/>
  <c r="D2" i="7" s="1"/>
  <c r="C2" i="7"/>
  <c r="E3" i="4"/>
  <c r="E2" i="4"/>
  <c r="E19" i="4"/>
  <c r="E18" i="4"/>
  <c r="B4" i="2" s="1"/>
  <c r="D20" i="4"/>
  <c r="E20" i="4" s="1"/>
  <c r="D25" i="4"/>
  <c r="D53" i="4" s="1"/>
  <c r="C25" i="4"/>
  <c r="C53" i="4" s="1"/>
  <c r="B25" i="4" l="1"/>
  <c r="D29" i="4"/>
  <c r="D52" i="4" s="1"/>
  <c r="E6" i="7"/>
  <c r="E25" i="7" s="1"/>
  <c r="D21" i="7"/>
  <c r="C29" i="4"/>
  <c r="D6" i="7"/>
  <c r="D25" i="7" s="1"/>
  <c r="D15" i="4"/>
  <c r="D23" i="4" s="1"/>
  <c r="E14" i="4"/>
  <c r="B3" i="2" s="1"/>
  <c r="C15" i="4"/>
  <c r="F3" i="2"/>
  <c r="C16" i="4"/>
  <c r="E16" i="4" s="1"/>
  <c r="C12" i="4"/>
  <c r="C11" i="4"/>
  <c r="B12" i="4"/>
  <c r="E10" i="4"/>
  <c r="B11" i="4"/>
  <c r="D26" i="4"/>
  <c r="D27" i="4"/>
  <c r="C26" i="4"/>
  <c r="C27" i="4"/>
  <c r="C31" i="4"/>
  <c r="E25" i="4"/>
  <c r="B6" i="2" s="1"/>
  <c r="B26" i="4"/>
  <c r="B27" i="4"/>
  <c r="B53" i="4" l="1"/>
  <c r="B29" i="4"/>
  <c r="C6" i="7"/>
  <c r="C25" i="7" s="1"/>
  <c r="D5" i="7"/>
  <c r="D24" i="7" s="1"/>
  <c r="C52" i="4"/>
  <c r="C30" i="4"/>
  <c r="C44" i="4" s="1"/>
  <c r="B31" i="4"/>
  <c r="D42" i="4"/>
  <c r="D30" i="4"/>
  <c r="D44" i="4" s="1"/>
  <c r="E5" i="7"/>
  <c r="E29" i="4"/>
  <c r="B5" i="2" s="1"/>
  <c r="D31" i="4"/>
  <c r="D45" i="4" s="1"/>
  <c r="D10" i="7"/>
  <c r="D14" i="7" s="1"/>
  <c r="D30" i="7"/>
  <c r="E15" i="4"/>
  <c r="C42" i="4"/>
  <c r="E26" i="4"/>
  <c r="C23" i="4"/>
  <c r="C43" i="4"/>
  <c r="B2" i="2"/>
  <c r="B23" i="4"/>
  <c r="E12" i="4"/>
  <c r="B43" i="4"/>
  <c r="E11" i="4"/>
  <c r="B42" i="4"/>
  <c r="C45" i="4"/>
  <c r="B45" i="4"/>
  <c r="E27" i="4"/>
  <c r="G27" i="4" s="1"/>
  <c r="D18" i="7" l="1"/>
  <c r="B52" i="4"/>
  <c r="B30" i="4"/>
  <c r="C5" i="7"/>
  <c r="C33" i="4"/>
  <c r="E31" i="4"/>
  <c r="D33" i="4"/>
  <c r="E42" i="4"/>
  <c r="E24" i="7"/>
  <c r="E30" i="7" s="1"/>
  <c r="E10" i="7"/>
  <c r="E43" i="4"/>
  <c r="B8" i="2"/>
  <c r="C46" i="4"/>
  <c r="E23" i="4"/>
  <c r="D46" i="4"/>
  <c r="E45" i="4"/>
  <c r="E39" i="7" l="1"/>
  <c r="E43" i="7"/>
  <c r="E48" i="7" s="1"/>
  <c r="E14" i="7"/>
  <c r="E18" i="7" s="1"/>
  <c r="B33" i="4"/>
  <c r="E33" i="4" s="1"/>
  <c r="B44" i="4"/>
  <c r="E30" i="4"/>
  <c r="C24" i="7"/>
  <c r="C10" i="7"/>
  <c r="C2" i="2"/>
  <c r="H2" i="2" s="1"/>
  <c r="C5" i="2"/>
  <c r="H5" i="2" s="1"/>
  <c r="C6" i="2"/>
  <c r="H6" i="2" s="1"/>
  <c r="C3" i="2"/>
  <c r="H3" i="2" s="1"/>
  <c r="C4" i="2"/>
  <c r="H4" i="2" s="1"/>
  <c r="C48" i="7" l="1"/>
  <c r="E40" i="7"/>
  <c r="E49" i="7"/>
  <c r="C18" i="7"/>
  <c r="B46" i="4"/>
  <c r="E46" i="4" s="1"/>
  <c r="E49" i="4" s="1"/>
  <c r="G26" i="4" s="1"/>
  <c r="E44" i="4"/>
  <c r="F44" i="4" s="1"/>
  <c r="G30" i="4"/>
  <c r="G29" i="4"/>
  <c r="H8" i="2"/>
  <c r="D26" i="7" s="1"/>
  <c r="D31" i="7" s="1"/>
  <c r="E7" i="6"/>
  <c r="L7" i="6" s="1"/>
  <c r="M7" i="6" s="1"/>
  <c r="E5" i="6"/>
  <c r="L5" i="6" s="1"/>
  <c r="M5" i="6" s="1"/>
  <c r="E4" i="6"/>
  <c r="L4" i="6" s="1"/>
  <c r="M4" i="6" s="1"/>
  <c r="E3" i="6"/>
  <c r="E6" i="6"/>
  <c r="L6" i="6" s="1"/>
  <c r="M6" i="6" s="1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F42" i="4"/>
  <c r="F45" i="4"/>
  <c r="D39" i="7" l="1"/>
  <c r="D40" i="7" s="1"/>
  <c r="D43" i="7"/>
  <c r="D48" i="7" s="1"/>
  <c r="D49" i="7" s="1"/>
  <c r="C40" i="7"/>
  <c r="C49" i="7"/>
  <c r="F43" i="4"/>
  <c r="L3" i="6"/>
  <c r="E8" i="6"/>
  <c r="D2" i="3"/>
  <c r="E2" i="3" s="1"/>
  <c r="M3" i="6" l="1"/>
  <c r="L8" i="6"/>
  <c r="M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<sst xmlns="http://schemas.openxmlformats.org/spreadsheetml/2006/main" count="162" uniqueCount="95">
  <si>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</si>
  <si>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</si>
  <si>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</si>
  <si>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</si>
  <si>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</si>
  <si>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</si>
  <si>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</si>
  <si>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</si>
  <si>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</si>
  <si>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</si>
  <si>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</si>
  <si>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</si>
  <si>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</si>
  <si>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</si>
  <si>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</si>
  <si>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</si>
  <si>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</si>
  <si>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</si>
  <si>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</si>
  <si>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</si>
  <si>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</si>
  <si>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</si>
  <si>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</si>
  <si>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</si>
  <si>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</si>
  <si>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</si>
  <si>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</si>
  <si>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</si>
  <si>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</si>
  <si>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</si>
  <si>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</si>
  <si>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</si>
  <si>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</si>
  <si>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</si>
  <si>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</si>
  <si>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</si>
  <si>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</si>
  <si>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</si>
  <si>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</si>
  <si>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</si>
  <si>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</si>
  <si>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</si>
  <si>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</si>
  <si>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</si>
  <si>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</si>
  <si>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</si>
  <si>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</si>
  <si>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</si>
  <si>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</si>
  <si>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</si>
  <si>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</si>
  <si>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</si>
  <si>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</si>
  <si>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</si>
  <si>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</si>
  <si>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</si>
  <si>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</si>
  <si>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</si>
  <si>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</si>
  <si>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</si>
  <si>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Mean LW -- beef cattle (kg)</t>
  </si>
  <si>
    <t>Dairy</t>
  </si>
  <si>
    <t>Mean LW -- dairy cattle (kg)</t>
  </si>
  <si>
    <t>FRAC Fed</t>
  </si>
  <si>
    <t>FRAC DMI as BW</t>
  </si>
  <si>
    <t>Total weight  - Beef (kg)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</si>
  <si>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</si>
  <si>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</si>
  <si>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</si>
  <si>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</si>
  <si>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</si>
  <si>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</si>
  <si>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</si>
  <si>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</si>
  <si>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</si>
  <si>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</si>
  <si>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</si>
  <si>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</si>
  <si>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demand (MT/yr)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</si>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</sst>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8" formatCode="0.000"/>
    <numFmt numFmtId="169" formatCode="0.0000"/>
    <numFmt numFmtId="170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0" fontId="1" fillId="0" borderId="0" xfId="0" applyFont="1" applyAlignment="1">
      <alignment horizontal="center"/>
    </xf>
    <xf numFmtId="1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5.xml"/><Relationship Id="rId19" Type="http://schemas.openxmlformats.org/officeDocument/2006/relationships/externalLink" Target="externalLinks/externalLink1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styles" Target="styles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csv" TargetMode="External"/><Relationship Id="rId1" Type="http://schemas.openxmlformats.org/officeDocument/2006/relationships/externalLinkPath" Target="/Users/JHawkins/Documents/Github/KE.beef.spatial/MODIS%20NPP%20-%20Summary/Land%20use%20specific%20NPP/NPP_2020_GRASS_Hum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csv" TargetMode="External"/><Relationship Id="rId1" Type="http://schemas.openxmlformats.org/officeDocument/2006/relationships/externalLinkPath" Target="/Users/JHawkins/Documents/Github/KE.beef.spatial/MODIS%20NPP%20-%20Summary/Land%20use%20specific%20NPP/NPP_2020_CROP_Humid.csv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csv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csv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0.48066728987208701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0.71371978379582002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0.48829216400301401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0.49669002326856798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0.72182985434857605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</v>
          </cell>
        </row>
        <row r="84">
          <cell r="I84">
            <v>0.34</v>
          </cell>
        </row>
        <row r="85">
          <cell r="I85">
            <v>0.4</v>
          </cell>
        </row>
        <row r="86">
          <cell r="I86">
            <v>0.85</v>
          </cell>
        </row>
        <row r="87">
          <cell r="I87">
            <v>0.4</v>
          </cell>
        </row>
        <row r="88">
          <cell r="I88">
            <v>0.5</v>
          </cell>
        </row>
        <row r="89">
          <cell r="I89">
            <v>0.5</v>
          </cell>
        </row>
        <row r="91">
          <cell r="I91">
            <v>0.4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>
        <row r="2">
          <cell r="C2">
            <v>220785.65217611199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>
        <row r="2">
          <cell r="C2">
            <v>467695.362210333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>
        <row r="2">
          <cell r="D2">
            <v>589697.33266333945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>
        <row r="2">
          <cell r="C2">
            <v>4580694.9930214901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>
        <row r="2">
          <cell r="C2">
            <v>5931614.2707009297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>
        <row r="2">
          <cell r="D2">
            <v>4968107.5438200859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>
        <row r="2">
          <cell r="C2">
            <v>24812.591756207301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>
        <row r="2">
          <cell r="C2">
            <v>1210306.62197518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>
        <row r="2">
          <cell r="D2">
            <v>5233916.3978957208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>
        <row r="2">
          <cell r="C2">
            <v>1300620.48691654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>
        <row r="2">
          <cell r="C2">
            <v>1063972.5190212701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>
        <row r="2">
          <cell r="D2">
            <v>1001433.3524225579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0.38423018628503097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0.54877636996903001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0.84387264986935995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0.23133614051250601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0.51992080415758601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0.33293320629867701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0.20100514737984401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/>
      <sheetData sheetId="1">
        <row r="2">
          <cell r="F2">
            <v>0.88426712592578605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1.0163977502756547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/>
      <sheetData sheetId="1">
        <row r="2">
          <cell r="F2">
            <v>0.92696223687758272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/>
      <sheetData sheetId="1">
        <row r="2">
          <cell r="F2">
            <v>0.84678773914801542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/>
      <sheetData sheetId="1">
        <row r="2">
          <cell r="F2">
            <v>0.96933124096754675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/>
      <sheetData sheetId="1">
        <row r="2">
          <cell r="F2">
            <v>0.90483097904175391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1.006944889838866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1.1289992284362775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1.0528955612019462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7" sqref="G7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6.99195979776652</v>
      </c>
      <c r="C2" s="6">
        <f>B2/$B$8</f>
        <v>0.51509165724121786</v>
      </c>
      <c r="D2">
        <f>[11]FAO_2019_animal_trends!$F$35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[11]FAO_2019_animal_trends!$G$35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4.5255644973891247</v>
      </c>
      <c r="C3" s="6">
        <f t="shared" ref="C3:C6" si="0">B3/$B$8</f>
        <v>0.33339443937546859</v>
      </c>
      <c r="D3">
        <f>[11]FAO_2019_animal_trends!$F$36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[11]FAO_2019_animal_trends!$G$36</f>
        <v>2.7950424483806726</v>
      </c>
      <c r="H3">
        <f>ABS(F3-C3)</f>
        <v>1.9805548760061742E-2</v>
      </c>
    </row>
    <row r="4" spans="1:8" x14ac:dyDescent="0.25">
      <c r="A4" t="s">
        <v>11</v>
      </c>
      <c r="B4">
        <f>Herd_decision_tree!E18</f>
        <v>0.7785024521166074</v>
      </c>
      <c r="C4" s="6">
        <f t="shared" si="0"/>
        <v>5.7351605247385556E-2</v>
      </c>
      <c r="D4">
        <f>[11]FAO_2019_animal_trends!$F$39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[11]FAO_2019_animal_trends!$G$40</f>
        <v>1.354588821344141</v>
      </c>
      <c r="H4">
        <f t="shared" ref="H4:H6" si="3">ABS(F4-C4)</f>
        <v>1.0685419163288128E-2</v>
      </c>
    </row>
    <row r="5" spans="1:8" x14ac:dyDescent="0.25">
      <c r="A5" t="s">
        <v>42</v>
      </c>
      <c r="B5">
        <f>Herd_decision_tree!E29</f>
        <v>0.6916275166390542</v>
      </c>
      <c r="C5" s="6">
        <f t="shared" si="0"/>
        <v>5.0951603562285619E-2</v>
      </c>
      <c r="D5">
        <f>[11]FAO_2019_animal_trends!$F$38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[11]FAO_2019_animal_trends!$G$38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0.5865508304107302</v>
      </c>
      <c r="C6" s="6">
        <f t="shared" si="0"/>
        <v>4.3210694573642398E-2</v>
      </c>
      <c r="D6">
        <f>[11]FAO_2019_animal_trends!$F$37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[11]FAO_2019_animal_trends!$G$37</f>
        <v>86.466565349544069</v>
      </c>
      <c r="H6">
        <f t="shared" si="3"/>
        <v>5.0959227875645746E-2</v>
      </c>
    </row>
    <row r="7" spans="1:8" x14ac:dyDescent="0.25">
      <c r="A7" t="s">
        <v>84</v>
      </c>
      <c r="C7" s="6"/>
      <c r="F7" s="6"/>
      <c r="G7">
        <f>76.3/40</f>
        <v>1.9075</v>
      </c>
    </row>
    <row r="8" spans="1:8" x14ac:dyDescent="0.25">
      <c r="B8">
        <f>SUM(B2:B6)</f>
        <v>13.574205094322036</v>
      </c>
      <c r="D8">
        <f>SUM(D2:D6)</f>
        <v>0.99999999999999989</v>
      </c>
      <c r="H8">
        <f>SUM(H2:H6)</f>
        <v>9.6191870170757365E-2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E5" sqref="E5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80</v>
      </c>
      <c r="B2" s="8">
        <f>[12]Arid_Subsistence!$C$2/1000000</f>
        <v>0.22078565217611199</v>
      </c>
      <c r="C2" s="8">
        <f>[13]SArid_Subsistence!$C$2/1000000</f>
        <v>0.46769536221033298</v>
      </c>
      <c r="D2" s="8">
        <f>[14]Humid_Subsistence!$D$2/1000000</f>
        <v>0.58969733266333946</v>
      </c>
      <c r="E2" s="9">
        <f>SUM(B2:D2)</f>
        <v>1.2781783470497845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81</v>
      </c>
      <c r="B3" s="8">
        <f>[15]Arid_Commercial!$C$2/1000000</f>
        <v>4.5806949930214902</v>
      </c>
      <c r="C3" s="8">
        <f>[16]SArid_Commercial!$C$2/1000000</f>
        <v>5.9316142707009298</v>
      </c>
      <c r="D3" s="8">
        <f>[17]Humid_Commercial!$D$2/1000000</f>
        <v>4.9681075438200857</v>
      </c>
      <c r="E3" s="9">
        <f>SUM(B3:D3)</f>
        <v>15.480416807542506</v>
      </c>
      <c r="H3" t="s">
        <v>6</v>
      </c>
      <c r="I3">
        <v>0.68</v>
      </c>
      <c r="K3" t="s">
        <v>38</v>
      </c>
    </row>
    <row r="4" spans="1:11" x14ac:dyDescent="0.25">
      <c r="A4" s="2" t="s">
        <v>61</v>
      </c>
      <c r="B4" s="8">
        <f>[18]Dairy_total_Arid_2020!$C$2/1000000</f>
        <v>2.48125917562073E-2</v>
      </c>
      <c r="C4" s="8">
        <f>[19]Dairy_total_SArid_2020!$C$2/1000000</f>
        <v>1.2103066219751799</v>
      </c>
      <c r="D4" s="8">
        <f>[20]Dairy_total_Humid_2020!$D$2/1000000</f>
        <v>5.2339163978957206</v>
      </c>
      <c r="E4" s="9"/>
    </row>
    <row r="5" spans="1:11" x14ac:dyDescent="0.25">
      <c r="A5" s="2" t="s">
        <v>84</v>
      </c>
      <c r="B5" s="8">
        <f>9.78*0.76*[21]Sheep_total_Arid_2020!$C$2/1000000</f>
        <v>9.6672519551532563</v>
      </c>
      <c r="C5" s="8">
        <f>9.78*0.76*[22]Sheep_total_SArid_2020!$C$2/1000000</f>
        <v>7.908294939381296</v>
      </c>
      <c r="D5" s="8">
        <f>9.78*0.76*[23]Sheep_total_Humid_2020!$D$2/1000000</f>
        <v>7.4434538218863873</v>
      </c>
      <c r="E5" s="9">
        <f>SUM(B5:D5)</f>
        <v>25.01900071642094</v>
      </c>
    </row>
    <row r="6" spans="1:11" x14ac:dyDescent="0.25">
      <c r="A6" s="2" t="s">
        <v>82</v>
      </c>
      <c r="B6" s="8">
        <f>SUM(B2:B3)</f>
        <v>4.8014806451976018</v>
      </c>
      <c r="C6" s="8">
        <f>SUM(C2:C3)</f>
        <v>6.3993096329112626</v>
      </c>
      <c r="D6" s="8">
        <f>SUM(D2:D3)</f>
        <v>5.5578048764834254</v>
      </c>
      <c r="E6" s="9">
        <f>SUM(B6:D6)</f>
        <v>16.758595154592292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71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3.5231517722606158</v>
      </c>
      <c r="C10" s="9">
        <f>C3*I8</f>
        <v>3.4688080255059042</v>
      </c>
      <c r="D10" s="9"/>
      <c r="E10" s="9">
        <f t="shared" ref="E10:E20" si="0">SUM(B10:D10)</f>
        <v>6.99195979776652</v>
      </c>
    </row>
    <row r="11" spans="1:11" x14ac:dyDescent="0.25">
      <c r="A11" s="3" t="s">
        <v>14</v>
      </c>
      <c r="B11" s="9">
        <f>B10*(1-I11)</f>
        <v>3.0848716917913954</v>
      </c>
      <c r="C11" s="9">
        <f>C10*(1-I11)</f>
        <v>3.0372883071329699</v>
      </c>
      <c r="D11" s="9"/>
      <c r="E11" s="9">
        <f t="shared" si="0"/>
        <v>6.1221599989243654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0.43828008046922062</v>
      </c>
      <c r="C12" s="9">
        <f>C10*(I11)</f>
        <v>0.43151971837293446</v>
      </c>
      <c r="D12" s="9"/>
      <c r="E12" s="9">
        <f t="shared" si="0"/>
        <v>0.86979979884215508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2.4628062451950257</v>
      </c>
      <c r="D14" s="9">
        <f>D3*(1-I8)</f>
        <v>2.062758252194099</v>
      </c>
      <c r="E14" s="9">
        <f t="shared" si="0"/>
        <v>4.5255644973891247</v>
      </c>
    </row>
    <row r="15" spans="1:11" x14ac:dyDescent="0.25">
      <c r="A15" s="3" t="s">
        <v>17</v>
      </c>
      <c r="B15" s="9"/>
      <c r="C15" s="9">
        <f>C14*(1-I12)</f>
        <v>2.2904098080313737</v>
      </c>
      <c r="D15" s="9">
        <f>D14*(1-I12)</f>
        <v>1.9183651745405119</v>
      </c>
      <c r="E15" s="9">
        <f t="shared" si="0"/>
        <v>4.2087749825718852</v>
      </c>
    </row>
    <row r="16" spans="1:11" x14ac:dyDescent="0.25">
      <c r="A16" s="3" t="s">
        <v>18</v>
      </c>
      <c r="B16" s="9"/>
      <c r="C16" s="9">
        <f>C14*(I12)</f>
        <v>0.1723964371636518</v>
      </c>
      <c r="D16" s="9">
        <f>D14*(I12)</f>
        <v>0.14439307765358694</v>
      </c>
      <c r="E16" s="9">
        <f t="shared" si="0"/>
        <v>0.31678951481723872</v>
      </c>
    </row>
    <row r="17" spans="1:7" x14ac:dyDescent="0.25">
      <c r="B17" s="9"/>
      <c r="C17" s="9"/>
      <c r="D17" s="9"/>
      <c r="E17" s="9"/>
    </row>
    <row r="18" spans="1:7" x14ac:dyDescent="0.25">
      <c r="A18" s="3" t="s">
        <v>11</v>
      </c>
      <c r="B18" s="9"/>
      <c r="C18" s="9"/>
      <c r="D18" s="9">
        <f>D3*I9</f>
        <v>0.7785024521166074</v>
      </c>
      <c r="E18" s="9">
        <f t="shared" si="0"/>
        <v>0.7785024521166074</v>
      </c>
    </row>
    <row r="19" spans="1:7" x14ac:dyDescent="0.25">
      <c r="A19" s="3" t="s">
        <v>19</v>
      </c>
      <c r="B19" s="9"/>
      <c r="C19" s="9"/>
      <c r="D19" s="9">
        <f>D$18*(1-I13)</f>
        <v>0.71622225594727884</v>
      </c>
      <c r="E19" s="9">
        <f t="shared" si="0"/>
        <v>0.71622225594727884</v>
      </c>
    </row>
    <row r="20" spans="1:7" x14ac:dyDescent="0.25">
      <c r="A20" s="3" t="s">
        <v>20</v>
      </c>
      <c r="B20" s="9"/>
      <c r="C20" s="9"/>
      <c r="D20" s="9">
        <f>D$18*(I13)</f>
        <v>6.2280196169328596E-2</v>
      </c>
      <c r="E20" s="9">
        <f t="shared" si="0"/>
        <v>6.2280196169328596E-2</v>
      </c>
    </row>
    <row r="21" spans="1:7" x14ac:dyDescent="0.25">
      <c r="B21" s="9"/>
      <c r="C21" s="9"/>
      <c r="D21" s="9"/>
      <c r="E21" s="9"/>
    </row>
    <row r="22" spans="1:7" x14ac:dyDescent="0.25">
      <c r="B22" s="9"/>
      <c r="C22" s="9"/>
      <c r="D22" s="9"/>
      <c r="E22" s="9"/>
    </row>
    <row r="23" spans="1:7" x14ac:dyDescent="0.25">
      <c r="A23" s="3" t="s">
        <v>28</v>
      </c>
      <c r="B23" s="9">
        <f>SUM(B15:B16)+SUM(B11:B12)</f>
        <v>3.5231517722606158</v>
      </c>
      <c r="C23" s="9">
        <f>SUM(C15:C16)+SUM(C11:C12)</f>
        <v>5.9316142707009298</v>
      </c>
      <c r="D23" s="9">
        <f>SUM(D15:D16)+SUM(D19:D20)</f>
        <v>2.8412607043107063</v>
      </c>
      <c r="E23" s="9">
        <f>SUM(B23:D23)</f>
        <v>12.296026747272251</v>
      </c>
    </row>
    <row r="24" spans="1:7" x14ac:dyDescent="0.25">
      <c r="A24" s="3"/>
      <c r="B24" s="9"/>
      <c r="C24" s="9"/>
      <c r="D24" s="9"/>
      <c r="E24" s="9"/>
    </row>
    <row r="25" spans="1:7" x14ac:dyDescent="0.25">
      <c r="A25" s="3" t="s">
        <v>23</v>
      </c>
      <c r="B25" s="9">
        <f>B6*$I2</f>
        <v>0.16805182258191609</v>
      </c>
      <c r="C25" s="9">
        <f t="shared" ref="C25:D25" si="1">C6*$I2</f>
        <v>0.2239758371518942</v>
      </c>
      <c r="D25" s="9">
        <f t="shared" si="1"/>
        <v>0.1945231706769199</v>
      </c>
      <c r="E25" s="9">
        <f>SUM(B25:D25)</f>
        <v>0.5865508304107302</v>
      </c>
    </row>
    <row r="26" spans="1:7" x14ac:dyDescent="0.25">
      <c r="A26" s="3" t="s">
        <v>24</v>
      </c>
      <c r="B26" s="9">
        <f>B25*$I3</f>
        <v>0.11427523935570295</v>
      </c>
      <c r="C26" s="9">
        <f t="shared" ref="C26:D26" si="2">C25*$I3</f>
        <v>0.15230356926328806</v>
      </c>
      <c r="D26" s="9">
        <f t="shared" si="2"/>
        <v>0.13227575606030553</v>
      </c>
      <c r="E26" s="9">
        <f>SUM(B26:D26)</f>
        <v>0.39885456467929659</v>
      </c>
      <c r="G26">
        <f>E26*E49</f>
        <v>0.48827647518794509</v>
      </c>
    </row>
    <row r="27" spans="1:7" x14ac:dyDescent="0.25">
      <c r="A27" s="3" t="s">
        <v>25</v>
      </c>
      <c r="B27" s="9">
        <f>B25*(1-$I3)</f>
        <v>5.3776583226213141E-2</v>
      </c>
      <c r="C27" s="9">
        <f t="shared" ref="C27:D27" si="3">C25*(1-$I3)</f>
        <v>7.1672267888606131E-2</v>
      </c>
      <c r="D27" s="9">
        <f t="shared" si="3"/>
        <v>6.2247414616614358E-2</v>
      </c>
      <c r="E27" s="9">
        <f t="shared" ref="E27:E31" si="4">SUM(B27:D27)</f>
        <v>0.18769626573143361</v>
      </c>
      <c r="G27">
        <f>E27*1.21</f>
        <v>0.22711248153503466</v>
      </c>
    </row>
    <row r="28" spans="1:7" x14ac:dyDescent="0.25">
      <c r="A28" s="3"/>
      <c r="B28" s="9"/>
      <c r="C28" s="9"/>
      <c r="D28" s="9"/>
      <c r="E28" s="9"/>
    </row>
    <row r="29" spans="1:7" x14ac:dyDescent="0.25">
      <c r="A29" s="3" t="s">
        <v>22</v>
      </c>
      <c r="B29" s="9">
        <f>B2-B25</f>
        <v>5.2733829594195897E-2</v>
      </c>
      <c r="C29" s="9">
        <f t="shared" ref="C29:D29" si="5">C2-C25</f>
        <v>0.24371952505843877</v>
      </c>
      <c r="D29" s="9">
        <f t="shared" si="5"/>
        <v>0.39517416198641953</v>
      </c>
      <c r="E29" s="9">
        <f t="shared" si="4"/>
        <v>0.6916275166390542</v>
      </c>
      <c r="G29">
        <f>22*E49</f>
        <v>26.932329238282836</v>
      </c>
    </row>
    <row r="30" spans="1:7" x14ac:dyDescent="0.25">
      <c r="A30" s="3" t="s">
        <v>26</v>
      </c>
      <c r="B30" s="9">
        <f>B29*($I3)</f>
        <v>3.5859004124053212E-2</v>
      </c>
      <c r="C30" s="9">
        <f t="shared" ref="C30" si="6">C29*($I3)</f>
        <v>0.16572927703973839</v>
      </c>
      <c r="D30" s="9">
        <f>D29*($I3)</f>
        <v>0.2687184301507653</v>
      </c>
      <c r="E30" s="9">
        <f t="shared" si="4"/>
        <v>0.47030671131455692</v>
      </c>
      <c r="G30">
        <f>E30*E49</f>
        <v>0.5757479632771676</v>
      </c>
    </row>
    <row r="31" spans="1:7" x14ac:dyDescent="0.25">
      <c r="A31" s="3" t="s">
        <v>27</v>
      </c>
      <c r="B31" s="9">
        <f>B29*(1-$I3)</f>
        <v>1.6874825470142685E-2</v>
      </c>
      <c r="C31" s="9">
        <f t="shared" ref="C31:D31" si="7">C29*(1-$I3)</f>
        <v>7.79902480187004E-2</v>
      </c>
      <c r="D31" s="9">
        <f t="shared" si="7"/>
        <v>0.12645573183565423</v>
      </c>
      <c r="E31" s="9">
        <f t="shared" si="4"/>
        <v>0.22132080532449733</v>
      </c>
    </row>
    <row r="32" spans="1:7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3.7439374244367278</v>
      </c>
      <c r="C33" s="9">
        <f>SUM(C11:C12,C15:C16,C26:C27,C30:C31)</f>
        <v>6.3993096329112626</v>
      </c>
      <c r="D33" s="9">
        <f>SUM(D11:D12,D15:D16,D30:D31,D19:D20)</f>
        <v>3.2364348662971261</v>
      </c>
      <c r="E33" s="9">
        <f>SUM(B33:D33)</f>
        <v>13.379681923645116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61</v>
      </c>
      <c r="B35" s="9">
        <f>B4</f>
        <v>2.48125917562073E-2</v>
      </c>
      <c r="C35" s="9">
        <f t="shared" ref="C35:D35" si="8">C4</f>
        <v>1.2103066219751799</v>
      </c>
      <c r="D35" s="9">
        <f t="shared" si="8"/>
        <v>5.2339163978957206</v>
      </c>
      <c r="E35" s="9">
        <f t="shared" ref="E35" si="9">SUM(B35:D35)</f>
        <v>6.4690356116271079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3.0848716917913954</v>
      </c>
      <c r="C42" s="9">
        <f>SUM(C11,C15)</f>
        <v>5.3276981151643437</v>
      </c>
      <c r="D42" s="9">
        <f>SUM(D15,D19)</f>
        <v>2.634587430487791</v>
      </c>
      <c r="E42" s="9">
        <f>SUM(B42:D42)</f>
        <v>11.04715723744353</v>
      </c>
      <c r="F42">
        <f>E42/E$46</f>
        <v>0.81758574893750713</v>
      </c>
    </row>
    <row r="43" spans="1:7" x14ac:dyDescent="0.25">
      <c r="A43" s="3" t="s">
        <v>48</v>
      </c>
      <c r="B43" s="9">
        <f>SUM(B12,B16)</f>
        <v>0.43828008046922062</v>
      </c>
      <c r="C43" s="9">
        <f>SUM(C12,C16)</f>
        <v>0.60391615553658629</v>
      </c>
      <c r="D43" s="9">
        <f>SUM(D12,D16)</f>
        <v>0.14439307765358694</v>
      </c>
      <c r="E43" s="10">
        <f>SUM(B43:D43)</f>
        <v>1.1865893136593939</v>
      </c>
      <c r="F43">
        <f>E43/E$46</f>
        <v>8.7817932870661489E-2</v>
      </c>
    </row>
    <row r="44" spans="1:7" x14ac:dyDescent="0.25">
      <c r="A44" s="3" t="s">
        <v>49</v>
      </c>
      <c r="B44" s="9">
        <f>SUM(B26,B30)</f>
        <v>0.15013424347975618</v>
      </c>
      <c r="C44" s="9">
        <f t="shared" ref="C44:D44" si="10">SUM(C26,C30)</f>
        <v>0.31803284630302642</v>
      </c>
      <c r="D44" s="9">
        <f t="shared" si="10"/>
        <v>0.40099418621107086</v>
      </c>
      <c r="E44" s="9">
        <f>SUM(B44:D44)</f>
        <v>0.8691612759938534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7.0651408696355833E-2</v>
      </c>
      <c r="C45" s="9">
        <f t="shared" ref="C45" si="11">SUM(C27,C31)</f>
        <v>0.14966251590730653</v>
      </c>
      <c r="D45" s="9">
        <f>SUM(D27,D31)</f>
        <v>0.1887031464522686</v>
      </c>
      <c r="E45" s="9">
        <f t="shared" ref="E45" si="12">SUM(B45:D45)</f>
        <v>0.40901707105593099</v>
      </c>
      <c r="F45">
        <f>E45/E$46</f>
        <v>3.0270821821386091E-2</v>
      </c>
    </row>
    <row r="46" spans="1:7" x14ac:dyDescent="0.25">
      <c r="A46" s="3" t="s">
        <v>30</v>
      </c>
      <c r="B46" s="9">
        <f>SUM(B42:B45)</f>
        <v>3.7439374244367278</v>
      </c>
      <c r="C46" s="9">
        <f t="shared" ref="C46:D46" si="13">SUM(C42:C45)</f>
        <v>6.3993096329112626</v>
      </c>
      <c r="D46" s="9">
        <f t="shared" si="13"/>
        <v>3.3686778408047173</v>
      </c>
      <c r="E46" s="9">
        <f>SUM(B46:D46)</f>
        <v>13.511924898152706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1.2241967835583107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0.67013048914709272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[11]FAO_2019_animal_trends!$G$35/100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[11]FAO_2019_animal_trends!$G36/100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0.95304019787340866</v>
      </c>
      <c r="C4">
        <f>[11]FAO_2019_animal_trends!$G39/100</f>
        <v>7.6101823708206687E-2</v>
      </c>
      <c r="D4">
        <f t="shared" si="0"/>
        <v>2.1758429137618971</v>
      </c>
      <c r="E4">
        <f t="shared" si="1"/>
        <v>3.1288831116353055</v>
      </c>
    </row>
    <row r="5" spans="1:5" x14ac:dyDescent="0.25">
      <c r="A5" t="s">
        <v>42</v>
      </c>
      <c r="B5" s="7">
        <f>Validate_2020!B5*Herd_decision_tree!E49</f>
        <v>0.84668818128995216</v>
      </c>
      <c r="C5">
        <f>[11]FAO_2019_animal_trends!$G38/100</f>
        <v>1.0372340425531916E-2</v>
      </c>
      <c r="D5">
        <f t="shared" si="0"/>
        <v>0.26346414151841596</v>
      </c>
      <c r="E5">
        <f t="shared" si="1"/>
        <v>1.1101523228083681</v>
      </c>
    </row>
    <row r="6" spans="1:5" x14ac:dyDescent="0.25">
      <c r="A6" t="s">
        <v>23</v>
      </c>
      <c r="B6" s="7">
        <f>Validate_2020!B6*Herd_decision_tree!E49</f>
        <v>0.71805363998227212</v>
      </c>
      <c r="C6">
        <f>[11]FAO_2019_animal_trends!$G37/100</f>
        <v>0.86466565349544067</v>
      </c>
      <c r="D6">
        <f t="shared" si="0"/>
        <v>18.626289595801538</v>
      </c>
      <c r="E6">
        <f t="shared" si="1"/>
        <v>19.344343235783811</v>
      </c>
    </row>
    <row r="7" spans="1:5" x14ac:dyDescent="0.25">
      <c r="A7" t="s">
        <v>61</v>
      </c>
      <c r="B7">
        <f>Herd_decision_tree!E35</f>
        <v>6.4690356116271079</v>
      </c>
      <c r="C7">
        <f>[11]FAO_2019_animal_trends!$G39/100</f>
        <v>7.6101823708206687E-2</v>
      </c>
      <c r="D7">
        <f t="shared" si="0"/>
        <v>14.769162230344715</v>
      </c>
      <c r="E7">
        <f t="shared" si="1"/>
        <v>21.238197841971825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49"/>
  <sheetViews>
    <sheetView tabSelected="1" topLeftCell="A31" workbookViewId="0">
      <selection activeCell="G43" sqref="G43"/>
    </sheetView>
  </sheetViews>
  <sheetFormatPr defaultRowHeight="15" x14ac:dyDescent="0.25"/>
  <cols>
    <col min="1" max="1" width="17.42578125" customWidth="1"/>
    <col min="2" max="2" width="27.5703125" customWidth="1"/>
    <col min="3" max="3" width="11.7109375" customWidth="1"/>
    <col min="4" max="4" width="13.85546875" customWidth="1"/>
    <col min="5" max="5" width="9.28515625" customWidth="1"/>
    <col min="6" max="7" width="11.28515625" customWidth="1"/>
  </cols>
  <sheetData>
    <row r="1" spans="1:9" x14ac:dyDescent="0.25">
      <c r="A1" s="1" t="s">
        <v>68</v>
      </c>
      <c r="B1" s="1"/>
      <c r="C1" s="2" t="s">
        <v>0</v>
      </c>
      <c r="D1" s="2" t="s">
        <v>58</v>
      </c>
      <c r="E1" s="2" t="s">
        <v>2</v>
      </c>
      <c r="H1" t="s">
        <v>60</v>
      </c>
      <c r="I1">
        <v>170</v>
      </c>
    </row>
    <row r="2" spans="1:9" x14ac:dyDescent="0.25">
      <c r="A2">
        <v>2020</v>
      </c>
      <c r="B2" t="s">
        <v>13</v>
      </c>
      <c r="C2">
        <f>Herd_decision_tree!B10</f>
        <v>3.5231517722606158</v>
      </c>
      <c r="D2">
        <f>Herd_decision_tree!C10</f>
        <v>3.4688080255059042</v>
      </c>
      <c r="E2">
        <v>0</v>
      </c>
      <c r="H2" t="s">
        <v>62</v>
      </c>
      <c r="I2">
        <v>200</v>
      </c>
    </row>
    <row r="3" spans="1:9" x14ac:dyDescent="0.25">
      <c r="B3" t="s">
        <v>16</v>
      </c>
      <c r="C3">
        <v>0</v>
      </c>
      <c r="D3">
        <f>Herd_decision_tree!C14</f>
        <v>2.4628062451950257</v>
      </c>
      <c r="E3">
        <f>Herd_decision_tree!D14</f>
        <v>2.062758252194099</v>
      </c>
      <c r="H3" t="s">
        <v>85</v>
      </c>
      <c r="I3">
        <v>35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0.7785024521166074</v>
      </c>
      <c r="H4" t="s">
        <v>63</v>
      </c>
      <c r="I4">
        <f>0.02+0.01</f>
        <v>0.03</v>
      </c>
    </row>
    <row r="5" spans="1:9" x14ac:dyDescent="0.25">
      <c r="B5" t="s">
        <v>22</v>
      </c>
      <c r="C5">
        <f>Herd_decision_tree!B29</f>
        <v>5.2733829594195897E-2</v>
      </c>
      <c r="D5">
        <f>Herd_decision_tree!C29</f>
        <v>0.24371952505843877</v>
      </c>
      <c r="E5">
        <f>Herd_decision_tree!D29</f>
        <v>0.39517416198641953</v>
      </c>
      <c r="H5" t="s">
        <v>64</v>
      </c>
      <c r="I5">
        <f>0.025-0.005</f>
        <v>0.02</v>
      </c>
    </row>
    <row r="6" spans="1:9" x14ac:dyDescent="0.25">
      <c r="B6" t="s">
        <v>23</v>
      </c>
      <c r="C6">
        <f>Herd_decision_tree!B25</f>
        <v>0.16805182258191609</v>
      </c>
      <c r="D6">
        <f>Herd_decision_tree!C25</f>
        <v>0.2239758371518942</v>
      </c>
      <c r="E6">
        <f>Herd_decision_tree!D25</f>
        <v>0.1945231706769199</v>
      </c>
    </row>
    <row r="7" spans="1:9" x14ac:dyDescent="0.25">
      <c r="B7" t="s">
        <v>61</v>
      </c>
      <c r="C7">
        <f>Herd_decision_tree!B35</f>
        <v>2.48125917562073E-2</v>
      </c>
      <c r="D7">
        <f>Herd_decision_tree!C35</f>
        <v>1.2103066219751799</v>
      </c>
      <c r="E7">
        <f>Herd_decision_tree!D35</f>
        <v>5.2339163978957206</v>
      </c>
    </row>
    <row r="8" spans="1:9" x14ac:dyDescent="0.25">
      <c r="B8" t="s">
        <v>84</v>
      </c>
      <c r="C8">
        <f>Herd_decision_tree!B5</f>
        <v>9.6672519551532563</v>
      </c>
      <c r="D8">
        <f>Herd_decision_tree!C5</f>
        <v>7.908294939381296</v>
      </c>
      <c r="E8">
        <f>Herd_decision_tree!D5</f>
        <v>7.4434538218863873</v>
      </c>
    </row>
    <row r="10" spans="1:9" x14ac:dyDescent="0.25">
      <c r="B10" t="s">
        <v>65</v>
      </c>
      <c r="C10">
        <f>SUM(C2:C6)*$I1*1000000</f>
        <v>636469362.15424371</v>
      </c>
      <c r="D10">
        <f>SUM(D2:D6)*$I1*1000000</f>
        <v>1087882637.5949147</v>
      </c>
      <c r="E10">
        <f>SUM(E2:E6)*$I1*1000000</f>
        <v>583262866.28558779</v>
      </c>
    </row>
    <row r="11" spans="1:9" x14ac:dyDescent="0.25">
      <c r="B11" t="s">
        <v>66</v>
      </c>
      <c r="C11">
        <f t="shared" ref="C11:E12" si="0">C7*$I$2*1000000</f>
        <v>4962518.3512414601</v>
      </c>
      <c r="D11">
        <f t="shared" si="0"/>
        <v>242061324.39503598</v>
      </c>
      <c r="E11">
        <f t="shared" si="0"/>
        <v>1046783279.5791441</v>
      </c>
    </row>
    <row r="12" spans="1:9" x14ac:dyDescent="0.25">
      <c r="B12" t="s">
        <v>86</v>
      </c>
      <c r="C12">
        <f>C8*$I$3*1000000</f>
        <v>338353818.43036395</v>
      </c>
      <c r="D12">
        <f>D8*$I$3*1000000</f>
        <v>276790322.87834537</v>
      </c>
      <c r="E12">
        <f>E8*$I$3*1000000</f>
        <v>260520883.76602352</v>
      </c>
    </row>
    <row r="14" spans="1:9" x14ac:dyDescent="0.25">
      <c r="B14" s="1" t="s">
        <v>78</v>
      </c>
      <c r="C14">
        <f>365*(C10+C11+C12)*(1-$I4)*($I5)/1000/1000000</f>
        <v>6.9378625341647489</v>
      </c>
      <c r="D14">
        <f>365*(D10+D11+D12)*(1-$I4)*($I5)/1000/1000000</f>
        <v>11.377285471152405</v>
      </c>
      <c r="E14">
        <f t="shared" ref="D14:E14" si="1">365*(E10+E11+E12)*(1-$I4)*($I5)/1000/1000000</f>
        <v>13.387105136815379</v>
      </c>
    </row>
    <row r="15" spans="1:9" x14ac:dyDescent="0.25">
      <c r="B15" s="1"/>
    </row>
    <row r="16" spans="1:9" x14ac:dyDescent="0.25">
      <c r="B16" s="19" t="s">
        <v>79</v>
      </c>
      <c r="C16" s="20">
        <f>NPP!C22</f>
        <v>10.601301632692286</v>
      </c>
      <c r="D16" s="20">
        <f>NPP!D22</f>
        <v>17.394244747218586</v>
      </c>
      <c r="E16" s="20">
        <f>NPP!E22</f>
        <v>13.142933731562785</v>
      </c>
    </row>
    <row r="17" spans="1:5" x14ac:dyDescent="0.25">
      <c r="B17" s="1"/>
    </row>
    <row r="18" spans="1:5" x14ac:dyDescent="0.25">
      <c r="B18" s="18" t="s">
        <v>83</v>
      </c>
      <c r="C18" s="6">
        <f>C16/C14</f>
        <v>1.528035699826471</v>
      </c>
      <c r="D18" s="6">
        <f t="shared" ref="D18" si="2">D16/D14</f>
        <v>1.5288571945674072</v>
      </c>
      <c r="E18" s="6">
        <f>E16/E14</f>
        <v>0.98176070160373152</v>
      </c>
    </row>
    <row r="19" spans="1:5" x14ac:dyDescent="0.25">
      <c r="B19" s="1"/>
    </row>
    <row r="21" spans="1:5" x14ac:dyDescent="0.25">
      <c r="A21" s="1" t="s">
        <v>69</v>
      </c>
      <c r="B21" t="s">
        <v>13</v>
      </c>
      <c r="C21">
        <f>C2+C2*30*Validate_2020!$G2/100</f>
        <v>3.9280888459649885</v>
      </c>
      <c r="D21">
        <f>D2+D2*30*Validate_2020!$G2/100</f>
        <v>3.867499044766002</v>
      </c>
      <c r="E21">
        <f>E2+E2*30*Validate_2020!$G2/100</f>
        <v>0</v>
      </c>
    </row>
    <row r="22" spans="1:5" x14ac:dyDescent="0.25">
      <c r="B22" t="s">
        <v>16</v>
      </c>
      <c r="C22">
        <f>C3+C3*30*Validate_2020!$G3/100</f>
        <v>0</v>
      </c>
      <c r="D22">
        <f>D3+D3*30*Validate_2020!$G3/100</f>
        <v>4.5279006444321599</v>
      </c>
      <c r="E22">
        <f>E3+E3*30*Validate_2020!$G3/100</f>
        <v>3.7924073148831083</v>
      </c>
    </row>
    <row r="23" spans="1:5" x14ac:dyDescent="0.25">
      <c r="B23" t="s">
        <v>59</v>
      </c>
      <c r="C23">
        <f>C4+C4*30*Validate_2020!$G4/100</f>
        <v>0</v>
      </c>
      <c r="D23">
        <f>D4+D4*30*Validate_2020!$G4/100</f>
        <v>0</v>
      </c>
      <c r="E23">
        <f>E4+E4*30*Validate_2020!$G4/100</f>
        <v>1.0948676678244551</v>
      </c>
    </row>
    <row r="24" spans="1:5" x14ac:dyDescent="0.25">
      <c r="B24" t="s">
        <v>22</v>
      </c>
      <c r="C24">
        <f>C5+C5*30*Validate_2020!$G5/100</f>
        <v>6.9143026568985577E-2</v>
      </c>
      <c r="D24">
        <f>D5+D5*30*Validate_2020!$G5/100</f>
        <v>0.31955778152609127</v>
      </c>
      <c r="E24">
        <f>E5+E5*30*Validate_2020!$G5/100</f>
        <v>0.51814059005134261</v>
      </c>
    </row>
    <row r="25" spans="1:5" x14ac:dyDescent="0.25">
      <c r="B25" t="s">
        <v>23</v>
      </c>
      <c r="C25">
        <f>C6+C6*30*Validate_2020!$G6/100</f>
        <v>4.5273109923986858</v>
      </c>
      <c r="D25">
        <f>D6+D6*30*Validate_2020!$G6/100</f>
        <v>6.033902245095824</v>
      </c>
      <c r="E25">
        <f>E6+E6*30*Validate_2020!$G6/100</f>
        <v>5.2404483054778428</v>
      </c>
    </row>
    <row r="26" spans="1:5" x14ac:dyDescent="0.25">
      <c r="B26" t="s">
        <v>61</v>
      </c>
      <c r="C26">
        <f>C7+C7*30*Validate_2020!G8/100</f>
        <v>2.48125917562073E-2</v>
      </c>
      <c r="D26">
        <f>D7+D7*30*Validate_2020!H8/100</f>
        <v>1.2452331192095332</v>
      </c>
      <c r="E26">
        <f>E7+E7*30*Validate_2020!I8/100</f>
        <v>5.2339163978957206</v>
      </c>
    </row>
    <row r="27" spans="1:5" x14ac:dyDescent="0.25">
      <c r="B27" t="s">
        <v>84</v>
      </c>
      <c r="C27">
        <f>C8+C8*30*Validate_2020!$G7/100</f>
        <v>15.199336886489707</v>
      </c>
      <c r="D27">
        <f>D8+D8*30*Validate_2020!$G7/100</f>
        <v>12.433816718442243</v>
      </c>
      <c r="E27">
        <f>E8+E8*30*Validate_2020!$G7/100</f>
        <v>11.702970271460872</v>
      </c>
    </row>
    <row r="30" spans="1:5" x14ac:dyDescent="0.25">
      <c r="B30" t="s">
        <v>65</v>
      </c>
      <c r="C30">
        <f>SUM(C21:C25)*$I1*1000000</f>
        <v>1449172287.038552</v>
      </c>
      <c r="D30">
        <f t="shared" ref="D30:E30" si="3">SUM(D21:D25)*$I1*1000000</f>
        <v>2507306151.6894131</v>
      </c>
      <c r="E30">
        <f t="shared" si="3"/>
        <v>1809796859.3002474</v>
      </c>
    </row>
    <row r="31" spans="1:5" x14ac:dyDescent="0.25">
      <c r="B31" t="s">
        <v>66</v>
      </c>
      <c r="C31">
        <f>C26*$I2*1000000</f>
        <v>4962518.3512414601</v>
      </c>
      <c r="D31">
        <f t="shared" ref="D31:E31" si="4">D26*$I2*1000000</f>
        <v>249046623.84190664</v>
      </c>
      <c r="E31">
        <f t="shared" si="4"/>
        <v>1046783279.5791441</v>
      </c>
    </row>
    <row r="32" spans="1:5" x14ac:dyDescent="0.25">
      <c r="B32" t="s">
        <v>86</v>
      </c>
      <c r="C32">
        <f>C27*$I3*1000000</f>
        <v>531976791.02713972</v>
      </c>
      <c r="D32">
        <f t="shared" ref="D32:E32" si="5">D27*$I3*1000000</f>
        <v>435183585.14547849</v>
      </c>
      <c r="E32">
        <f t="shared" si="5"/>
        <v>409603959.50113052</v>
      </c>
    </row>
    <row r="34" spans="1:5" x14ac:dyDescent="0.25">
      <c r="B34" s="1" t="s">
        <v>67</v>
      </c>
      <c r="C34">
        <f>365*(C30+C31+C32)*(1-$I4)*($I5)/1000/1000000</f>
        <v>14.063656214228304</v>
      </c>
      <c r="D34">
        <f t="shared" ref="D34:E34" si="6">365*(D30+D31+D32)*(1-$I4)*($I5)/1000/1000000</f>
        <v>22.599268969952409</v>
      </c>
      <c r="E34">
        <f t="shared" si="6"/>
        <v>23.127849600632477</v>
      </c>
    </row>
    <row r="36" spans="1:5" x14ac:dyDescent="0.25">
      <c r="B36" s="19" t="s">
        <v>79</v>
      </c>
      <c r="C36" s="20">
        <f>NPP!C26</f>
        <v>11.487638876032412</v>
      </c>
      <c r="D36" s="20">
        <f>NPP!D26</f>
        <v>18.036650067492623</v>
      </c>
      <c r="E36" s="20">
        <f>NPP!E26</f>
        <v>12.622380382884351</v>
      </c>
    </row>
    <row r="37" spans="1:5" x14ac:dyDescent="0.25">
      <c r="B37" s="1"/>
    </row>
    <row r="38" spans="1:5" x14ac:dyDescent="0.25">
      <c r="B38" s="12" t="s">
        <v>83</v>
      </c>
      <c r="C38" s="12"/>
      <c r="D38" s="12"/>
      <c r="E38" s="12"/>
    </row>
    <row r="39" spans="1:5" x14ac:dyDescent="0.25">
      <c r="B39" s="18">
        <v>2050</v>
      </c>
      <c r="C39" s="6">
        <f>C36/C34</f>
        <v>0.81683160488595297</v>
      </c>
      <c r="D39" s="6">
        <f t="shared" ref="D39:E39" si="7">D36/D34</f>
        <v>0.79810767735336197</v>
      </c>
      <c r="E39" s="6">
        <f t="shared" si="7"/>
        <v>0.54576541273163448</v>
      </c>
    </row>
    <row r="40" spans="1:5" x14ac:dyDescent="0.25">
      <c r="A40" s="1"/>
      <c r="B40" s="18" t="s">
        <v>89</v>
      </c>
      <c r="C40" s="6">
        <f>(C39+C18)/2</f>
        <v>1.172433652356212</v>
      </c>
      <c r="D40" s="6">
        <f t="shared" ref="D40:E40" si="8">(D39+D18)/2</f>
        <v>1.1634824359603846</v>
      </c>
      <c r="E40" s="6">
        <f t="shared" si="8"/>
        <v>0.763763057167683</v>
      </c>
    </row>
    <row r="43" spans="1:5" x14ac:dyDescent="0.25">
      <c r="A43" s="1" t="s">
        <v>70</v>
      </c>
      <c r="B43" s="1" t="s">
        <v>67</v>
      </c>
      <c r="C43">
        <f>C34</f>
        <v>14.063656214228304</v>
      </c>
      <c r="D43">
        <f t="shared" ref="D43:E43" si="9">D34</f>
        <v>22.599268969952409</v>
      </c>
      <c r="E43">
        <f t="shared" si="9"/>
        <v>23.127849600632477</v>
      </c>
    </row>
    <row r="45" spans="1:5" x14ac:dyDescent="0.25">
      <c r="B45" s="19" t="s">
        <v>79</v>
      </c>
      <c r="C45" s="20">
        <f>NPP!C30</f>
        <v>12.224887513466063</v>
      </c>
      <c r="D45" s="20">
        <f>NPP!D30</f>
        <v>19.304782313030003</v>
      </c>
      <c r="E45" s="20">
        <f>NPP!E30</f>
        <v>14.854997836251982</v>
      </c>
    </row>
    <row r="47" spans="1:5" x14ac:dyDescent="0.25">
      <c r="B47" s="12" t="s">
        <v>83</v>
      </c>
      <c r="C47" s="12"/>
      <c r="D47" s="12"/>
      <c r="E47" s="12"/>
    </row>
    <row r="48" spans="1:5" x14ac:dyDescent="0.25">
      <c r="B48" s="1">
        <v>2050</v>
      </c>
      <c r="C48">
        <f>C45/C43</f>
        <v>0.86925386451768172</v>
      </c>
      <c r="D48">
        <f t="shared" ref="D48:E48" si="10">D45/D43</f>
        <v>0.85422153870097761</v>
      </c>
      <c r="E48">
        <f t="shared" si="10"/>
        <v>0.64229913687460782</v>
      </c>
    </row>
    <row r="49" spans="2:5" x14ac:dyDescent="0.25">
      <c r="B49" s="1" t="s">
        <v>89</v>
      </c>
      <c r="C49">
        <f>(C18+C48)*0.5</f>
        <v>1.1986447821720763</v>
      </c>
      <c r="D49">
        <f t="shared" ref="D49:E49" si="11">(D18+D48)*0.5</f>
        <v>1.1915393666341925</v>
      </c>
      <c r="E49">
        <f t="shared" si="11"/>
        <v>0.81202991923916967</v>
      </c>
    </row>
  </sheetData>
  <mergeCells count="2">
    <mergeCell ref="B47:E47"/>
    <mergeCell ref="B38:E3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topLeftCell="A13" workbookViewId="0">
      <selection activeCell="E28" sqref="E28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5.71093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68</v>
      </c>
      <c r="C1" t="s">
        <v>0</v>
      </c>
      <c r="D1" t="s">
        <v>58</v>
      </c>
      <c r="E1" t="s">
        <v>2</v>
      </c>
    </row>
    <row r="2" spans="1:12" x14ac:dyDescent="0.25">
      <c r="A2" t="s">
        <v>93</v>
      </c>
      <c r="B2" t="s">
        <v>90</v>
      </c>
      <c r="C2" s="13">
        <f>[53]ZS_Grassland_Arid!$D$2*L15</f>
        <v>8999548.7400000002</v>
      </c>
      <c r="D2" s="13">
        <f>[55]ZS_Grassland_SArid!$D$2*L15</f>
        <v>5771174.7599999998</v>
      </c>
      <c r="E2" s="13">
        <f>[54]ZS_Grassland_Humid!$E$2*L15</f>
        <v>2864986.2469854681</v>
      </c>
    </row>
    <row r="3" spans="1:12" x14ac:dyDescent="0.25">
      <c r="B3" t="s">
        <v>91</v>
      </c>
      <c r="C3" s="13">
        <f>[56]ZS_Cropland_Arid!$D$2*L15</f>
        <v>23297.040000000001</v>
      </c>
      <c r="D3" s="13">
        <f>[57]ZS_Cropland_SArid!$D$2*L15</f>
        <v>869281.92</v>
      </c>
      <c r="E3" s="13">
        <f>[58]ZS_Cropland_Humid!$E$2*L15</f>
        <v>1203926.882102082</v>
      </c>
    </row>
    <row r="4" spans="1:12" x14ac:dyDescent="0.25">
      <c r="B4" t="s">
        <v>92</v>
      </c>
      <c r="C4" s="13">
        <f>[59]ZS_Shrubland_Arid!$D$2*L15</f>
        <v>12354944.939999999</v>
      </c>
      <c r="D4" s="13">
        <f>[60]ZS_Shrubland_SArid!$D$2*L15</f>
        <v>15894049.859999999</v>
      </c>
      <c r="E4" s="13">
        <f>[61]ZS_Shrubland_Humid!$E$2*L15</f>
        <v>2815548.9448752725</v>
      </c>
    </row>
    <row r="5" spans="1:12" x14ac:dyDescent="0.25">
      <c r="C5" s="13"/>
      <c r="D5" s="13"/>
      <c r="E5" s="13"/>
    </row>
    <row r="6" spans="1:12" x14ac:dyDescent="0.25">
      <c r="B6" s="1" t="s">
        <v>94</v>
      </c>
    </row>
    <row r="7" spans="1:12" x14ac:dyDescent="0.25">
      <c r="A7">
        <v>2020</v>
      </c>
      <c r="B7" t="s">
        <v>72</v>
      </c>
      <c r="C7" s="16">
        <f>[50]NPP_2020_GRASS_Arid!$E$2</f>
        <v>0.33293320629867701</v>
      </c>
      <c r="D7" s="16">
        <f>[1]NPP_2020_GRASS_SArid!$E$2</f>
        <v>0.48066728987208701</v>
      </c>
      <c r="E7" s="15">
        <f>[62]filtered!$F$2</f>
        <v>0.88426712592578605</v>
      </c>
    </row>
    <row r="8" spans="1:12" x14ac:dyDescent="0.25">
      <c r="B8" t="s">
        <v>73</v>
      </c>
      <c r="C8" s="16">
        <f>[51]NPP_2020_CROP_Arid!$E$2</f>
        <v>0.97599038751874501</v>
      </c>
      <c r="D8" s="16">
        <f>[2]NPP_2020_CROP_SArid!$E$2</f>
        <v>0.71371978379582002</v>
      </c>
      <c r="E8" s="15">
        <f>[63]filtered!$F$2</f>
        <v>1.0163977502756547</v>
      </c>
    </row>
    <row r="9" spans="1:12" x14ac:dyDescent="0.25">
      <c r="B9" t="s">
        <v>74</v>
      </c>
      <c r="C9" s="16">
        <f>[52]NPP_2020_SHRUB_Arid!$E$2</f>
        <v>0.20100514737984401</v>
      </c>
      <c r="D9" s="16">
        <f>[3]NPP_2020_SHRUB_SArid!$E$2</f>
        <v>0.48829216400301401</v>
      </c>
      <c r="E9" s="15">
        <f>[64]filtered!$F$2</f>
        <v>0.92696223687758272</v>
      </c>
      <c r="L9" s="11"/>
    </row>
    <row r="10" spans="1:12" x14ac:dyDescent="0.25">
      <c r="C10" s="13"/>
      <c r="D10" s="13"/>
      <c r="E10" s="13"/>
      <c r="L10" s="11"/>
    </row>
    <row r="11" spans="1:12" x14ac:dyDescent="0.25">
      <c r="A11" t="s">
        <v>69</v>
      </c>
      <c r="B11" t="s">
        <v>72</v>
      </c>
      <c r="C11" s="16">
        <f>[4]NPP_2050_R4_GRASS_Arid!$E$2</f>
        <v>0.36084903504638699</v>
      </c>
      <c r="D11" s="16">
        <f>[5]NPP_2050_R4_GRASS_SArid!$E$2</f>
        <v>0.49669002326856798</v>
      </c>
      <c r="E11" s="16">
        <f>[65]filtered!$F$2</f>
        <v>0.84678773914801542</v>
      </c>
      <c r="F11">
        <f>C11/C7</f>
        <v>1.0838481359611407</v>
      </c>
      <c r="G11">
        <f t="shared" ref="G11:H13" si="0">D11/D7</f>
        <v>1.0333343535832131</v>
      </c>
      <c r="H11">
        <f t="shared" si="0"/>
        <v>0.95761531139300071</v>
      </c>
    </row>
    <row r="12" spans="1:12" x14ac:dyDescent="0.25">
      <c r="B12" t="s">
        <v>73</v>
      </c>
      <c r="C12" s="16">
        <f>[6]NPP_2050_R4_CROP_Arid!$E$2</f>
        <v>1.0384816436740301</v>
      </c>
      <c r="D12" s="16">
        <f>[7]NPP_2050_R4_CROP_SArid!$E$2</f>
        <v>0.72182985434857605</v>
      </c>
      <c r="E12" s="16">
        <f>[66]filtered!$F$2</f>
        <v>0.96933124096754675</v>
      </c>
      <c r="F12">
        <f t="shared" ref="F12:F13" si="1">C12/C8</f>
        <v>1.0640285569965051</v>
      </c>
      <c r="G12">
        <f t="shared" si="0"/>
        <v>1.0113631017899263</v>
      </c>
      <c r="H12">
        <f t="shared" si="0"/>
        <v>0.95369282419668566</v>
      </c>
    </row>
    <row r="13" spans="1:12" x14ac:dyDescent="0.25">
      <c r="B13" t="s">
        <v>74</v>
      </c>
      <c r="C13" s="16">
        <f>[8]NPP_2050_R4_SHRUB_Arid!$E$2</f>
        <v>0.21776707800273001</v>
      </c>
      <c r="D13" s="16">
        <f>[9]NPP_2050_R4_SHRUB_SArid!$E$2</f>
        <v>0.51075241024303597</v>
      </c>
      <c r="E13" s="16">
        <f>[67]filtered!$F$2</f>
        <v>0.90483097904175391</v>
      </c>
      <c r="F13">
        <f t="shared" si="1"/>
        <v>1.083390554129495</v>
      </c>
      <c r="G13">
        <f t="shared" si="0"/>
        <v>1.0459975561677932</v>
      </c>
      <c r="H13">
        <f t="shared" si="0"/>
        <v>0.97612496285676464</v>
      </c>
    </row>
    <row r="14" spans="1:12" x14ac:dyDescent="0.25">
      <c r="C14" s="13"/>
      <c r="D14" s="13"/>
      <c r="E14" s="13"/>
    </row>
    <row r="15" spans="1:12" x14ac:dyDescent="0.25">
      <c r="A15" t="s">
        <v>70</v>
      </c>
      <c r="B15" t="s">
        <v>72</v>
      </c>
      <c r="C15" s="16">
        <f>[44]NPP_2050_R8_GRASS_Arid!$E$2</f>
        <v>0.38423018628503097</v>
      </c>
      <c r="D15" s="16">
        <f>[45]NPP_2050_R8_GRASS_SArid!$E$2</f>
        <v>0.54877636996903001</v>
      </c>
      <c r="E15" s="16">
        <f>[68]filtered!$F$2</f>
        <v>1.006944889838866</v>
      </c>
      <c r="F15">
        <f>C15/C7</f>
        <v>1.1540758897456898</v>
      </c>
      <c r="G15">
        <f t="shared" ref="G15:H17" si="2">D15/D7</f>
        <v>1.1416969316032881</v>
      </c>
      <c r="H15">
        <f t="shared" si="2"/>
        <v>1.1387338286319784</v>
      </c>
      <c r="K15" t="s">
        <v>88</v>
      </c>
      <c r="L15">
        <f>44.46</f>
        <v>44.46</v>
      </c>
    </row>
    <row r="16" spans="1:12" x14ac:dyDescent="0.25">
      <c r="B16" t="s">
        <v>73</v>
      </c>
      <c r="C16" s="16">
        <f>[46]NPP_2050_R8_CROP_Arid!$E$2</f>
        <v>1.10532849796393</v>
      </c>
      <c r="D16" s="16">
        <f>[47]NPP_2050_R8_CROP_SArid!$E$2</f>
        <v>0.84387264986935995</v>
      </c>
      <c r="E16" s="16">
        <f>[69]filtered!$F$2</f>
        <v>1.1289992284362775</v>
      </c>
      <c r="F16">
        <f t="shared" ref="F16:F17" si="3">C16/C8</f>
        <v>1.1325198609527298</v>
      </c>
      <c r="G16">
        <f t="shared" si="2"/>
        <v>1.1823584956288304</v>
      </c>
      <c r="H16">
        <f t="shared" si="2"/>
        <v>1.110784855761521</v>
      </c>
      <c r="K16" t="s">
        <v>87</v>
      </c>
      <c r="L16">
        <f>L15</f>
        <v>44.46</v>
      </c>
    </row>
    <row r="17" spans="1:8" x14ac:dyDescent="0.25">
      <c r="B17" t="s">
        <v>74</v>
      </c>
      <c r="C17" s="16">
        <f>[48]NPP_2050_R8_SHRUB_Arid!$E$2</f>
        <v>0.23133614051250601</v>
      </c>
      <c r="D17" s="16">
        <f>[49]NPP_2050_R8_SHRUB_SArid!$E$2</f>
        <v>0.51992080415758601</v>
      </c>
      <c r="E17" s="16">
        <f>[70]filtered!$F$2</f>
        <v>1.0528955612019462</v>
      </c>
      <c r="F17">
        <f t="shared" si="3"/>
        <v>1.15089659905746</v>
      </c>
      <c r="G17">
        <f t="shared" si="2"/>
        <v>1.0647740072158454</v>
      </c>
      <c r="H17">
        <f t="shared" si="2"/>
        <v>1.1358559381540314</v>
      </c>
    </row>
    <row r="20" spans="1:8" x14ac:dyDescent="0.25">
      <c r="A20" s="17">
        <v>2020</v>
      </c>
      <c r="B20" t="s">
        <v>75</v>
      </c>
      <c r="C20">
        <f>10000*(1/1000)*(C2*C7+C3*C8*[10]Raster_logic!$I$84+C4*C9*[10]Raster_logic!$I$85)*(1/[10]Raster_logic!$I$79)*[10]Raster_logic!$I$80*[10]Raster_logic!$I$81/1000000</f>
        <v>10.552984047609801</v>
      </c>
      <c r="D20">
        <f>10000*(1/1000)*(D2*D7+D3*D8*[10]Raster_logic!$I$84+D4*D9*[10]Raster_logic!$I$85)*(1/[10]Raster_logic!$I$79)*[10]Raster_logic!$I$80*[10]Raster_logic!$I$81/1000000</f>
        <v>16.075844376218555</v>
      </c>
      <c r="E20">
        <f>10000*(1/1000)*(E2*E7+E3*E8*[10]Raster_logic!$I$84+E4*E9*[10]Raster_logic!$I$85)*(1/[10]Raster_logic!$I$79)*[10]Raster_logic!$I$80*[10]Raster_logic!$I$81/1000000</f>
        <v>10.542638010824788</v>
      </c>
    </row>
    <row r="21" spans="1:8" x14ac:dyDescent="0.25">
      <c r="B21" t="s">
        <v>76</v>
      </c>
      <c r="C21">
        <f>10000*(1/1000)*(C3*C8*[10]Raster_logic!$I$91)*(1/[10]Raster_logic!$I$87)*[10]Raster_logic!$I$88*[10]Raster_logic!$I$89*[10]Raster_logic!$I$86/1000000</f>
        <v>4.831758508248437E-2</v>
      </c>
      <c r="D21">
        <f>10000*(1/1000)*(D3*D8*[10]Raster_logic!$I$91)*(1/[10]Raster_logic!$I$87)*[10]Raster_logic!$I$88*[10]Raster_logic!$I$89*[10]Raster_logic!$I$86/1000000</f>
        <v>1.3184003710000327</v>
      </c>
      <c r="E21">
        <f>10000*(1/1000)*(E3*E8*[10]Raster_logic!$I$91)*(1/[10]Raster_logic!$I$87)*[10]Raster_logic!$I$88*[10]Raster_logic!$I$89*[10]Raster_logic!$I$86/1000000</f>
        <v>2.6002957207379964</v>
      </c>
    </row>
    <row r="22" spans="1:8" x14ac:dyDescent="0.25">
      <c r="B22" t="s">
        <v>77</v>
      </c>
      <c r="C22">
        <f>SUM(C20:C21)</f>
        <v>10.601301632692286</v>
      </c>
      <c r="D22">
        <f>SUM(D20:D21)</f>
        <v>17.394244747218586</v>
      </c>
      <c r="E22">
        <f>SUM(E20:E21)</f>
        <v>13.142933731562785</v>
      </c>
    </row>
    <row r="24" spans="1:8" x14ac:dyDescent="0.25">
      <c r="A24" t="s">
        <v>69</v>
      </c>
      <c r="B24" t="str">
        <f>B20</f>
        <v>BIOM GRASS Supply (MT/ha/yr)</v>
      </c>
      <c r="C24">
        <f>10000*(1/1000)*(C2*C11+C3*C12*[10]Raster_logic!$I$84+C4*C13*[10]Raster_logic!$I$85)*(1/[10]Raster_logic!$I$79)*[10]Raster_logic!$I$80*[10]Raster_logic!$I$81/1000000</f>
        <v>11.436227585699539</v>
      </c>
      <c r="D24">
        <f>10000*(1/1000)*(D2*D11+D3*D12*[10]Raster_logic!$I$84+D4*D13*[10]Raster_logic!$I$85)*(1/[10]Raster_logic!$I$79)*[10]Raster_logic!$I$80*[10]Raster_logic!$I$81/1000000</f>
        <v>16.70326857887704</v>
      </c>
      <c r="E24">
        <f>10000*(1/1000)*(E2*E11+E3*E12*[10]Raster_logic!$I$84+E4*E13*[10]Raster_logic!$I$85)*(1/[10]Raster_logic!$I$79)*[10]Raster_logic!$I$80*[10]Raster_logic!$I$81/1000000</f>
        <v>10.142497013227176</v>
      </c>
      <c r="F24" s="14">
        <f>C24/C20</f>
        <v>1.0836960933613644</v>
      </c>
      <c r="G24" s="14">
        <f t="shared" ref="G24:H26" si="4">D24/D20</f>
        <v>1.0390290045098129</v>
      </c>
      <c r="H24" s="14">
        <f t="shared" si="4"/>
        <v>0.96204545795969076</v>
      </c>
    </row>
    <row r="25" spans="1:8" x14ac:dyDescent="0.25">
      <c r="B25" t="str">
        <f t="shared" ref="B25:B26" si="5">B21</f>
        <v>BIOM CROP Supply (MT/ha/yr)</v>
      </c>
      <c r="C25">
        <f>10000*(1/1000)*(C12*C3*[10]Raster_logic!$I$91)*(1/[10]Raster_logic!$I$87)*[10]Raster_logic!$I$88*[10]Raster_logic!$I$89*[10]Raster_logic!$I$86/1000000</f>
        <v>5.1411290332871701E-2</v>
      </c>
      <c r="D25">
        <f>10000*(1/1000)*(D12*D3*[10]Raster_logic!$I$91)*(1/[10]Raster_logic!$I$87)*[10]Raster_logic!$I$88*[10]Raster_logic!$I$89*[10]Raster_logic!$I$86/1000000</f>
        <v>1.3333814886155824</v>
      </c>
      <c r="E25">
        <f>10000*(1/1000)*(E12*E3*[10]Raster_logic!$I$91)*(1/[10]Raster_logic!$I$87)*[10]Raster_logic!$I$88*[10]Raster_logic!$I$89*[10]Raster_logic!$I$86/1000000</f>
        <v>2.4798833696571756</v>
      </c>
      <c r="F25" s="14">
        <f t="shared" ref="F25:F26" si="6">C25/C21</f>
        <v>1.0640285569965051</v>
      </c>
      <c r="G25" s="14">
        <f t="shared" si="4"/>
        <v>1.0113631017899261</v>
      </c>
      <c r="H25" s="14">
        <f t="shared" si="4"/>
        <v>0.95369282419668544</v>
      </c>
    </row>
    <row r="26" spans="1:8" x14ac:dyDescent="0.25">
      <c r="B26" t="str">
        <f t="shared" si="5"/>
        <v>BIOM Total (MT/ha/yr)</v>
      </c>
      <c r="C26">
        <f>SUM(C24:C25)</f>
        <v>11.487638876032412</v>
      </c>
      <c r="D26">
        <f t="shared" ref="D26:E26" si="7">SUM(D24:D25)</f>
        <v>18.036650067492623</v>
      </c>
      <c r="E26">
        <f t="shared" si="7"/>
        <v>12.622380382884351</v>
      </c>
      <c r="F26" s="14">
        <f t="shared" si="6"/>
        <v>1.083606454570337</v>
      </c>
      <c r="G26" s="14">
        <f t="shared" si="4"/>
        <v>1.036932061702579</v>
      </c>
      <c r="H26" s="14">
        <f t="shared" si="4"/>
        <v>0.96039291079827005</v>
      </c>
    </row>
    <row r="28" spans="1:8" x14ac:dyDescent="0.25">
      <c r="A28" t="s">
        <v>70</v>
      </c>
      <c r="B28" t="str">
        <f>B24</f>
        <v>BIOM GRASS Supply (MT/ha/yr)</v>
      </c>
      <c r="C28">
        <f>10000*(1/1000)*(C2*C15+C3*C16*[10]Raster_logic!$I$84+C4*C17*[10]Raster_logic!$I$85)*(1/[10]Raster_logic!$I$79)*[10]Raster_logic!$I$80*[10]Raster_logic!$I$81/1000000</f>
        <v>12.170166888726877</v>
      </c>
      <c r="D28">
        <f>10000*(1/1000)*(D2*D15+D3*D16*[10]Raster_logic!$I$84+D4*D17*[10]Raster_logic!$I$85)*(1/[10]Raster_logic!$I$79)*[10]Raster_logic!$I$80*[10]Raster_logic!$I$81/1000000</f>
        <v>17.745960433737913</v>
      </c>
      <c r="E28">
        <f>10000*(1/1000)*(E2*E15+E3*E16*[10]Raster_logic!$I$84+E4*E17*[10]Raster_logic!$I$85)*(1/[10]Raster_logic!$I$79)*[10]Raster_logic!$I$80*[10]Raster_logic!$I$81/1000000</f>
        <v>11.966628729154726</v>
      </c>
      <c r="F28" s="14">
        <f>C28/C20</f>
        <v>1.1532441282788977</v>
      </c>
      <c r="G28" s="14">
        <f t="shared" ref="G28:H28" si="8">D28/D20</f>
        <v>1.1038897875865237</v>
      </c>
      <c r="H28" s="14">
        <f t="shared" si="8"/>
        <v>1.1350696777094913</v>
      </c>
    </row>
    <row r="29" spans="1:8" x14ac:dyDescent="0.25">
      <c r="B29" t="str">
        <f t="shared" ref="B29:B30" si="9">B25</f>
        <v>BIOM CROP Supply (MT/ha/yr)</v>
      </c>
      <c r="C29">
        <f>10000*(1/1000)*(C16*C3*[10]Raster_logic!$I$91)*(1/[10]Raster_logic!$I$87)*[10]Raster_logic!$I$88*[10]Raster_logic!$I$89*[10]Raster_logic!$I$86/1000000</f>
        <v>5.4720624739186902E-2</v>
      </c>
      <c r="D29">
        <f>10000*(1/1000)*(D16*D3*[10]Raster_logic!$I$91)*(1/[10]Raster_logic!$I$87)*[10]Raster_logic!$I$88*[10]Raster_logic!$I$89*[10]Raster_logic!$I$86/1000000</f>
        <v>1.5588218792920909</v>
      </c>
      <c r="E29">
        <f>10000*(1/1000)*(E16*E3*[10]Raster_logic!$I$91)*(1/[10]Raster_logic!$I$87)*[10]Raster_logic!$I$88*[10]Raster_logic!$I$89*[10]Raster_logic!$I$86/1000000</f>
        <v>2.8883691070972564</v>
      </c>
      <c r="F29" s="14">
        <f t="shared" ref="F29:F30" si="10">C29/C21</f>
        <v>1.1325198609527301</v>
      </c>
      <c r="G29" s="14">
        <f t="shared" ref="G29:G30" si="11">D29/D21</f>
        <v>1.1823584956288307</v>
      </c>
      <c r="H29" s="14">
        <f t="shared" ref="H29:H30" si="12">E29/E21</f>
        <v>1.1107848557615212</v>
      </c>
    </row>
    <row r="30" spans="1:8" x14ac:dyDescent="0.25">
      <c r="B30" t="str">
        <f t="shared" si="9"/>
        <v>BIOM Total (MT/ha/yr)</v>
      </c>
      <c r="C30">
        <f>SUM(C28:C29)</f>
        <v>12.224887513466063</v>
      </c>
      <c r="D30">
        <f>SUM(D28:D29)</f>
        <v>19.304782313030003</v>
      </c>
      <c r="E30">
        <f t="shared" ref="D30:E30" si="13">SUM(E28:E29)</f>
        <v>14.854997836251982</v>
      </c>
      <c r="F30" s="14">
        <f t="shared" si="10"/>
        <v>1.1531496732219151</v>
      </c>
      <c r="G30" s="14">
        <f t="shared" si="11"/>
        <v>1.1098373395094903</v>
      </c>
      <c r="H30" s="14">
        <f t="shared" si="12"/>
        <v>1.1302649879895288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[24]Pastoral_Zebu_2020!$K$2</f>
        <v>7912803.5780913802</v>
      </c>
      <c r="C3">
        <f>[25]Pastoral_Boran_2020!$K$2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[26]Pastoral_Zebu_2050!$K$2</f>
        <v>8554757.4814370908</v>
      </c>
      <c r="H3">
        <f>[27]Pastoral_Boran_2050!$K$2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[28]Agpastoral_Zebu_2020!$K$2</f>
        <v>3685141.0110471202</v>
      </c>
      <c r="C4">
        <f>[29]Agpastoral_Boran_2020!$K$2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[30]Agpastoral_Zebu_2050!$K$2</f>
        <v>6488770.1197828101</v>
      </c>
      <c r="H4">
        <f>[31]Agpastoral_Boran_2050!$K$2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[32]Mixed_Zebu_2020!$K$2</f>
        <v>298374.71550379699</v>
      </c>
      <c r="C5">
        <f>[33]Mixed_Boran_2020!$K$2</f>
        <v>25945.627401560501</v>
      </c>
      <c r="D5">
        <f>SUM(B5:C5)/1000000</f>
        <v>0.32432034290535749</v>
      </c>
      <c r="E5">
        <f>Herd_decision_tree!E18*Herd_decision_tree!$E$49</f>
        <v>0.95304019787340866</v>
      </c>
      <c r="G5">
        <f>[34]Mixed_Zebu_2050!$K$2</f>
        <v>404262.59496554697</v>
      </c>
      <c r="H5">
        <f>[35]Mixed_Boran_2050!$K$2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1.3403334773726869</v>
      </c>
      <c r="M5">
        <f t="shared" si="2"/>
        <v>1.4063766464032423</v>
      </c>
    </row>
    <row r="6" spans="1:13" x14ac:dyDescent="0.25">
      <c r="A6" t="s">
        <v>42</v>
      </c>
      <c r="B6">
        <f>[36]Cowcalf_Boran_2020!$K$2</f>
        <v>1184753.34766715</v>
      </c>
      <c r="C6">
        <f>[37]Cowcalf_Exotic_2020!$K$2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0.84668818128995216</v>
      </c>
      <c r="G6">
        <f>[38]Cowcalf_Boran_2050!$K$2</f>
        <v>1806208.69891036</v>
      </c>
      <c r="H6">
        <f>[39]Cowcalf_Exotic_2050!$K$2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1.3111702127659577</v>
      </c>
    </row>
    <row r="7" spans="1:13" x14ac:dyDescent="0.25">
      <c r="A7" t="s">
        <v>23</v>
      </c>
      <c r="B7">
        <f>[40]Finisher_Boran_2020!$K$2</f>
        <v>26321.876059999999</v>
      </c>
      <c r="C7">
        <f>[41]Finisher_Exotic_2020!$K$2</f>
        <v>12386.7653238613</v>
      </c>
      <c r="D7">
        <f t="shared" si="3"/>
        <v>3.8708641383861299E-2</v>
      </c>
      <c r="E7">
        <f>Herd_decision_tree!E25*Herd_decision_tree!$E$49</f>
        <v>0.71805363998227212</v>
      </c>
      <c r="G7">
        <f>[42]Finisher_Boran_2050!$K$2</f>
        <v>918345.45531155204</v>
      </c>
      <c r="H7">
        <f>[43]Finisher_Exotic_2050!$K$2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19.344343235783811</v>
      </c>
      <c r="M7">
        <f>L7/E7</f>
        <v>26.939969604863222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41.523856899752225</v>
      </c>
      <c r="M8">
        <f>L8/E8</f>
        <v>2.4988031507773227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Validate_2020</vt:lpstr>
      <vt:lpstr>Herd_decision_tree</vt:lpstr>
      <vt:lpstr>Projections</vt:lpstr>
      <vt:lpstr>Carrying_Capacity</vt:lpstr>
      <vt:lpstr>NPP</vt:lpstr>
      <vt:lpstr>ZS_Summary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2026-06-18T09:55:03Z</dcterms:modified>
</cp:coreProperties>
</file>