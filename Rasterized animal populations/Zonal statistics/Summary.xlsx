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Rasterized animal populations\Zonal statistics\"/>
    </mc:Choice>
  </mc:AlternateContent>
  <xr:revisionPtr revIDLastSave="0" documentId="13_ncr:1_{86F87C46-F811-42DD-BD14-3E9DA22D1DA1}" xr6:coauthVersionLast="47" xr6:coauthVersionMax="47" xr10:uidLastSave="{00000000-0000-0000-0000-000000000000}"/>
  <bookViews>
    <workbookView xWindow="-120" yWindow="-120" windowWidth="21840" windowHeight="13020" activeTab="1" xr2:uid="{3882C52B-09A6-47D1-94BA-1F6173569800}"/>
  </bookViews>
  <sheets>
    <sheet name="Validate_2020" sheetId="2" r:id="rId1"/>
    <sheet name="Herd_decision_tree" sheetId="4" r:id="rId2"/>
    <sheet name="Projections" sheetId="3" r:id="rId3"/>
    <sheet name="ZS_Summary" sheetId="6" r:id="rId4"/>
    <sheet name="NPP" sheetId="8" r:id="rId5"/>
    <sheet name="Carrying_Capacity" sheetId="7" r:id="rId6"/>
    <sheet name="Beef_population_to_GIS" sheetId="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3" i="4" l="1"/>
  <c r="K43" i="4"/>
  <c r="K42" i="4"/>
  <c r="J42" i="4"/>
  <c r="I43" i="4"/>
  <c r="B322" i="7" l="1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21" i="7"/>
  <c r="B320" i="7"/>
  <c r="B304" i="7"/>
  <c r="B264" i="7"/>
  <c r="B286" i="7" s="1"/>
  <c r="B265" i="7"/>
  <c r="B287" i="7" s="1"/>
  <c r="B266" i="7"/>
  <c r="B288" i="7" s="1"/>
  <c r="B267" i="7"/>
  <c r="B289" i="7" s="1"/>
  <c r="B268" i="7"/>
  <c r="B290" i="7" s="1"/>
  <c r="B269" i="7"/>
  <c r="B291" i="7" s="1"/>
  <c r="B253" i="7"/>
  <c r="B275" i="7" s="1"/>
  <c r="B254" i="7"/>
  <c r="B276" i="7" s="1"/>
  <c r="B255" i="7"/>
  <c r="B277" i="7" s="1"/>
  <c r="B256" i="7"/>
  <c r="B305" i="7" s="1"/>
  <c r="B257" i="7"/>
  <c r="B279" i="7" s="1"/>
  <c r="B258" i="7"/>
  <c r="B280" i="7" s="1"/>
  <c r="B259" i="7"/>
  <c r="B281" i="7" s="1"/>
  <c r="B260" i="7"/>
  <c r="B282" i="7" s="1"/>
  <c r="B261" i="7"/>
  <c r="B283" i="7" s="1"/>
  <c r="B262" i="7"/>
  <c r="B284" i="7" s="1"/>
  <c r="B263" i="7"/>
  <c r="B285" i="7" s="1"/>
  <c r="B252" i="7"/>
  <c r="B301" i="7" s="1"/>
  <c r="B83" i="7"/>
  <c r="B92" i="7" s="1"/>
  <c r="B101" i="7" s="1"/>
  <c r="B110" i="7" s="1"/>
  <c r="B119" i="7" s="1"/>
  <c r="B128" i="7" s="1"/>
  <c r="B137" i="7" s="1"/>
  <c r="B146" i="7" s="1"/>
  <c r="B155" i="7" s="1"/>
  <c r="B164" i="7" s="1"/>
  <c r="B173" i="7" s="1"/>
  <c r="B182" i="7" s="1"/>
  <c r="B191" i="7" s="1"/>
  <c r="I82" i="7"/>
  <c r="I84" i="7" s="1"/>
  <c r="I86" i="7" s="1"/>
  <c r="I88" i="7" s="1"/>
  <c r="I90" i="7" s="1"/>
  <c r="I92" i="7" s="1"/>
  <c r="I94" i="7" s="1"/>
  <c r="I96" i="7" s="1"/>
  <c r="I81" i="7"/>
  <c r="I83" i="7" s="1"/>
  <c r="I85" i="7" s="1"/>
  <c r="I87" i="7" s="1"/>
  <c r="I89" i="7" s="1"/>
  <c r="A242" i="7"/>
  <c r="B233" i="7"/>
  <c r="B242" i="7" s="1"/>
  <c r="A233" i="7"/>
  <c r="A224" i="7"/>
  <c r="A215" i="7"/>
  <c r="A206" i="7"/>
  <c r="A197" i="7"/>
  <c r="A188" i="7"/>
  <c r="A179" i="7"/>
  <c r="A170" i="7"/>
  <c r="A161" i="7"/>
  <c r="A152" i="7"/>
  <c r="A143" i="7"/>
  <c r="A134" i="7"/>
  <c r="A125" i="7"/>
  <c r="A117" i="7"/>
  <c r="A107" i="7"/>
  <c r="A98" i="7"/>
  <c r="A89" i="7"/>
  <c r="B98" i="7"/>
  <c r="B107" i="7" s="1"/>
  <c r="B116" i="7" s="1"/>
  <c r="B125" i="7" s="1"/>
  <c r="B134" i="7" s="1"/>
  <c r="B143" i="7" s="1"/>
  <c r="B152" i="7" s="1"/>
  <c r="B161" i="7" s="1"/>
  <c r="B170" i="7" s="1"/>
  <c r="B179" i="7" s="1"/>
  <c r="B188" i="7" s="1"/>
  <c r="B197" i="7" s="1"/>
  <c r="B206" i="7" s="1"/>
  <c r="B215" i="7" s="1"/>
  <c r="B224" i="7" s="1"/>
  <c r="B91" i="7"/>
  <c r="B100" i="7" s="1"/>
  <c r="B109" i="7" s="1"/>
  <c r="B118" i="7" s="1"/>
  <c r="B127" i="7" s="1"/>
  <c r="B136" i="7" s="1"/>
  <c r="B145" i="7" s="1"/>
  <c r="B154" i="7" s="1"/>
  <c r="B163" i="7" s="1"/>
  <c r="B172" i="7" s="1"/>
  <c r="B181" i="7" s="1"/>
  <c r="B190" i="7" s="1"/>
  <c r="B199" i="7" s="1"/>
  <c r="B208" i="7" s="1"/>
  <c r="B217" i="7" s="1"/>
  <c r="B226" i="7" s="1"/>
  <c r="B235" i="7" s="1"/>
  <c r="B244" i="7" s="1"/>
  <c r="B93" i="7"/>
  <c r="B102" i="7" s="1"/>
  <c r="B111" i="7" s="1"/>
  <c r="B120" i="7" s="1"/>
  <c r="B129" i="7" s="1"/>
  <c r="B138" i="7" s="1"/>
  <c r="B147" i="7" s="1"/>
  <c r="B156" i="7" s="1"/>
  <c r="B165" i="7" s="1"/>
  <c r="B174" i="7" s="1"/>
  <c r="B183" i="7" s="1"/>
  <c r="B192" i="7" s="1"/>
  <c r="B201" i="7" s="1"/>
  <c r="B210" i="7" s="1"/>
  <c r="B219" i="7" s="1"/>
  <c r="B228" i="7" s="1"/>
  <c r="B237" i="7" s="1"/>
  <c r="B246" i="7" s="1"/>
  <c r="B94" i="7"/>
  <c r="B103" i="7" s="1"/>
  <c r="B112" i="7" s="1"/>
  <c r="B121" i="7" s="1"/>
  <c r="B130" i="7" s="1"/>
  <c r="B139" i="7" s="1"/>
  <c r="B148" i="7" s="1"/>
  <c r="B157" i="7" s="1"/>
  <c r="B166" i="7" s="1"/>
  <c r="B175" i="7" s="1"/>
  <c r="B184" i="7" s="1"/>
  <c r="B193" i="7" s="1"/>
  <c r="B202" i="7" s="1"/>
  <c r="B211" i="7" s="1"/>
  <c r="B220" i="7" s="1"/>
  <c r="B229" i="7" s="1"/>
  <c r="B238" i="7" s="1"/>
  <c r="B247" i="7" s="1"/>
  <c r="B95" i="7"/>
  <c r="B104" i="7" s="1"/>
  <c r="B113" i="7" s="1"/>
  <c r="B122" i="7" s="1"/>
  <c r="B131" i="7" s="1"/>
  <c r="B140" i="7" s="1"/>
  <c r="B149" i="7" s="1"/>
  <c r="B158" i="7" s="1"/>
  <c r="B167" i="7" s="1"/>
  <c r="B176" i="7" s="1"/>
  <c r="B185" i="7" s="1"/>
  <c r="B194" i="7" s="1"/>
  <c r="B203" i="7" s="1"/>
  <c r="B212" i="7" s="1"/>
  <c r="B221" i="7" s="1"/>
  <c r="B230" i="7" s="1"/>
  <c r="B239" i="7" s="1"/>
  <c r="B248" i="7" s="1"/>
  <c r="B96" i="7"/>
  <c r="B105" i="7" s="1"/>
  <c r="B114" i="7" s="1"/>
  <c r="B123" i="7" s="1"/>
  <c r="B132" i="7" s="1"/>
  <c r="B141" i="7" s="1"/>
  <c r="B150" i="7" s="1"/>
  <c r="B159" i="7" s="1"/>
  <c r="B168" i="7" s="1"/>
  <c r="B177" i="7" s="1"/>
  <c r="B186" i="7" s="1"/>
  <c r="B195" i="7" s="1"/>
  <c r="B204" i="7" s="1"/>
  <c r="B213" i="7" s="1"/>
  <c r="B222" i="7" s="1"/>
  <c r="B231" i="7" s="1"/>
  <c r="B240" i="7" s="1"/>
  <c r="B249" i="7" s="1"/>
  <c r="B90" i="7"/>
  <c r="B99" i="7" s="1"/>
  <c r="B108" i="7" s="1"/>
  <c r="B117" i="7" s="1"/>
  <c r="B126" i="7" s="1"/>
  <c r="B135" i="7" s="1"/>
  <c r="B144" i="7" s="1"/>
  <c r="B153" i="7" s="1"/>
  <c r="B162" i="7" s="1"/>
  <c r="B171" i="7" s="1"/>
  <c r="B180" i="7" s="1"/>
  <c r="B189" i="7" s="1"/>
  <c r="B198" i="7" s="1"/>
  <c r="B207" i="7" s="1"/>
  <c r="B216" i="7" s="1"/>
  <c r="B225" i="7" s="1"/>
  <c r="B234" i="7" s="1"/>
  <c r="B243" i="7" s="1"/>
  <c r="I7" i="7"/>
  <c r="I6" i="7"/>
  <c r="I7" i="4"/>
  <c r="I9" i="4"/>
  <c r="I8" i="4"/>
  <c r="B2" i="4"/>
  <c r="B278" i="7" l="1"/>
  <c r="B306" i="7"/>
  <c r="B302" i="7"/>
  <c r="B307" i="7"/>
  <c r="B311" i="7"/>
  <c r="B318" i="7"/>
  <c r="B312" i="7"/>
  <c r="B310" i="7"/>
  <c r="B303" i="7"/>
  <c r="B317" i="7"/>
  <c r="B316" i="7"/>
  <c r="B315" i="7"/>
  <c r="B313" i="7"/>
  <c r="B314" i="7"/>
  <c r="B309" i="7"/>
  <c r="B308" i="7"/>
  <c r="B274" i="7"/>
  <c r="B200" i="7"/>
  <c r="B209" i="7" s="1"/>
  <c r="B218" i="7" s="1"/>
  <c r="B227" i="7" s="1"/>
  <c r="B236" i="7" s="1"/>
  <c r="B245" i="7" s="1"/>
  <c r="I91" i="7"/>
  <c r="I93" i="7" s="1"/>
  <c r="I95" i="7" s="1"/>
  <c r="G2" i="2" l="1"/>
  <c r="E81" i="7" s="1"/>
  <c r="E189" i="7" l="1"/>
  <c r="E180" i="7"/>
  <c r="E90" i="7"/>
  <c r="E48" i="4"/>
  <c r="B53" i="7"/>
  <c r="B57" i="7" s="1"/>
  <c r="B75" i="7" s="1"/>
  <c r="B54" i="7"/>
  <c r="B72" i="7" s="1"/>
  <c r="B52" i="7"/>
  <c r="B70" i="7" s="1"/>
  <c r="B71" i="7" l="1"/>
  <c r="B64" i="7"/>
  <c r="B56" i="7"/>
  <c r="B58" i="7"/>
  <c r="B76" i="7" l="1"/>
  <c r="B65" i="7"/>
  <c r="B74" i="7"/>
  <c r="B63" i="7"/>
  <c r="D5" i="4" l="1"/>
  <c r="D4" i="4"/>
  <c r="D3" i="4"/>
  <c r="D2" i="4"/>
  <c r="C5" i="4"/>
  <c r="C4" i="4"/>
  <c r="C3" i="4"/>
  <c r="C2" i="4"/>
  <c r="B5" i="4"/>
  <c r="B4" i="4"/>
  <c r="B3" i="4"/>
  <c r="D7" i="9"/>
  <c r="D10" i="9" s="1"/>
  <c r="D13" i="9" s="1"/>
  <c r="D16" i="9" s="1"/>
  <c r="D19" i="9" s="1"/>
  <c r="D22" i="9" s="1"/>
  <c r="D25" i="9" s="1"/>
  <c r="D28" i="9" s="1"/>
  <c r="D31" i="9" s="1"/>
  <c r="D34" i="9" s="1"/>
  <c r="D37" i="9" s="1"/>
  <c r="D40" i="9" s="1"/>
  <c r="D43" i="9" s="1"/>
  <c r="D46" i="9" s="1"/>
  <c r="D49" i="9" s="1"/>
  <c r="D52" i="9" s="1"/>
  <c r="D55" i="9" s="1"/>
  <c r="D58" i="9" s="1"/>
  <c r="D61" i="9" s="1"/>
  <c r="D64" i="9" s="1"/>
  <c r="D67" i="9" s="1"/>
  <c r="D6" i="9"/>
  <c r="D9" i="9" s="1"/>
  <c r="D12" i="9" s="1"/>
  <c r="D15" i="9" s="1"/>
  <c r="D18" i="9" s="1"/>
  <c r="D21" i="9" s="1"/>
  <c r="D24" i="9" s="1"/>
  <c r="D27" i="9" s="1"/>
  <c r="D30" i="9" s="1"/>
  <c r="D33" i="9" s="1"/>
  <c r="D36" i="9" s="1"/>
  <c r="D39" i="9" s="1"/>
  <c r="D42" i="9" s="1"/>
  <c r="D45" i="9" s="1"/>
  <c r="D48" i="9" s="1"/>
  <c r="D51" i="9" s="1"/>
  <c r="D54" i="9" s="1"/>
  <c r="D57" i="9" s="1"/>
  <c r="D60" i="9" s="1"/>
  <c r="D63" i="9" s="1"/>
  <c r="D66" i="9" s="1"/>
  <c r="D5" i="9"/>
  <c r="D8" i="9" s="1"/>
  <c r="D11" i="9" s="1"/>
  <c r="D14" i="9" s="1"/>
  <c r="D17" i="9" s="1"/>
  <c r="D20" i="9" s="1"/>
  <c r="D23" i="9" s="1"/>
  <c r="D26" i="9" s="1"/>
  <c r="D29" i="9" s="1"/>
  <c r="D32" i="9" s="1"/>
  <c r="D35" i="9" s="1"/>
  <c r="D38" i="9" s="1"/>
  <c r="D41" i="9" s="1"/>
  <c r="D44" i="9" s="1"/>
  <c r="D47" i="9" s="1"/>
  <c r="D50" i="9" s="1"/>
  <c r="D53" i="9" s="1"/>
  <c r="D56" i="9" s="1"/>
  <c r="D59" i="9" s="1"/>
  <c r="D62" i="9" s="1"/>
  <c r="D65" i="9" s="1"/>
  <c r="E9" i="8"/>
  <c r="E8" i="8"/>
  <c r="E7" i="8"/>
  <c r="G7" i="2" l="1"/>
  <c r="C11" i="8"/>
  <c r="E15" i="8"/>
  <c r="E17" i="8"/>
  <c r="C15" i="8"/>
  <c r="E16" i="8"/>
  <c r="E11" i="8"/>
  <c r="E13" i="8"/>
  <c r="E12" i="8"/>
  <c r="H16" i="8" l="1"/>
  <c r="I9" i="7"/>
  <c r="L15" i="8"/>
  <c r="D17" i="8" l="1"/>
  <c r="D16" i="8"/>
  <c r="D15" i="8"/>
  <c r="C17" i="8"/>
  <c r="C16" i="8"/>
  <c r="D13" i="8"/>
  <c r="D12" i="8"/>
  <c r="D11" i="8"/>
  <c r="C13" i="8"/>
  <c r="C12" i="8"/>
  <c r="D8" i="7"/>
  <c r="D87" i="7" s="1"/>
  <c r="D96" i="7" s="1"/>
  <c r="C8" i="7"/>
  <c r="C87" i="7" s="1"/>
  <c r="C96" i="7" s="1"/>
  <c r="H17" i="8"/>
  <c r="H12" i="8"/>
  <c r="H11" i="8"/>
  <c r="D9" i="8"/>
  <c r="D8" i="8"/>
  <c r="C2" i="8"/>
  <c r="C9" i="8"/>
  <c r="C8" i="8"/>
  <c r="D7" i="8"/>
  <c r="C7" i="8"/>
  <c r="D34" i="7" l="1"/>
  <c r="D271" i="7" s="1"/>
  <c r="C34" i="7"/>
  <c r="D14" i="7"/>
  <c r="C14" i="7"/>
  <c r="G12" i="8"/>
  <c r="G13" i="8"/>
  <c r="G17" i="8"/>
  <c r="H13" i="8"/>
  <c r="F13" i="8"/>
  <c r="F17" i="8"/>
  <c r="G15" i="8"/>
  <c r="G11" i="8"/>
  <c r="H15" i="8"/>
  <c r="F15" i="8"/>
  <c r="F11" i="8"/>
  <c r="G16" i="8"/>
  <c r="F12" i="8"/>
  <c r="F16" i="8"/>
  <c r="C271" i="7" l="1"/>
  <c r="C41" i="7"/>
  <c r="C213" i="7"/>
  <c r="C204" i="7"/>
  <c r="C150" i="7"/>
  <c r="C249" i="7"/>
  <c r="C159" i="7"/>
  <c r="C177" i="7"/>
  <c r="C222" i="7"/>
  <c r="C231" i="7"/>
  <c r="D240" i="7"/>
  <c r="D159" i="7"/>
  <c r="D231" i="7"/>
  <c r="D195" i="7"/>
  <c r="D222" i="7"/>
  <c r="D168" i="7"/>
  <c r="D213" i="7"/>
  <c r="D186" i="7"/>
  <c r="D249" i="7"/>
  <c r="D105" i="7"/>
  <c r="D150" i="7"/>
  <c r="D177" i="7"/>
  <c r="D204" i="7"/>
  <c r="D123" i="7"/>
  <c r="D132" i="7"/>
  <c r="D141" i="7"/>
  <c r="C132" i="7"/>
  <c r="C123" i="7"/>
  <c r="C141" i="7"/>
  <c r="D114" i="7"/>
  <c r="B25" i="8"/>
  <c r="B29" i="8" s="1"/>
  <c r="B26" i="8"/>
  <c r="B30" i="8" s="1"/>
  <c r="B24" i="8"/>
  <c r="B28" i="8" s="1"/>
  <c r="E8" i="7"/>
  <c r="E87" i="7" s="1"/>
  <c r="E96" i="7" s="1"/>
  <c r="B6" i="4"/>
  <c r="C7" i="3"/>
  <c r="C35" i="4"/>
  <c r="D7" i="7" s="1"/>
  <c r="D86" i="7" s="1"/>
  <c r="D95" i="7" s="1"/>
  <c r="B35" i="4"/>
  <c r="C7" i="7" s="1"/>
  <c r="C86" i="7" s="1"/>
  <c r="C95" i="7" s="1"/>
  <c r="D35" i="4"/>
  <c r="C240" i="7" l="1"/>
  <c r="C195" i="7"/>
  <c r="C186" i="7"/>
  <c r="C168" i="7"/>
  <c r="C114" i="7"/>
  <c r="C105" i="7"/>
  <c r="D13" i="7"/>
  <c r="C33" i="7"/>
  <c r="C40" i="7" s="1"/>
  <c r="E34" i="7"/>
  <c r="E14" i="7"/>
  <c r="E3" i="8"/>
  <c r="D3" i="8"/>
  <c r="C4" i="8"/>
  <c r="E4" i="8"/>
  <c r="E2" i="8"/>
  <c r="D4" i="8"/>
  <c r="D2" i="8"/>
  <c r="C3" i="8"/>
  <c r="L16" i="8"/>
  <c r="D41" i="7"/>
  <c r="C13" i="7"/>
  <c r="E5" i="4"/>
  <c r="E7" i="7"/>
  <c r="E86" i="7" s="1"/>
  <c r="E95" i="7" s="1"/>
  <c r="E35" i="4"/>
  <c r="B7" i="3" s="1"/>
  <c r="D7" i="3" s="1"/>
  <c r="E7" i="3" s="1"/>
  <c r="E20" i="8" l="1"/>
  <c r="E28" i="8"/>
  <c r="E24" i="8"/>
  <c r="E25" i="8"/>
  <c r="E29" i="8"/>
  <c r="E21" i="8"/>
  <c r="D29" i="8"/>
  <c r="D25" i="8"/>
  <c r="D21" i="8"/>
  <c r="C29" i="8"/>
  <c r="C25" i="8"/>
  <c r="C21" i="8"/>
  <c r="C20" i="8"/>
  <c r="C22" i="8" s="1"/>
  <c r="C24" i="8"/>
  <c r="C28" i="8"/>
  <c r="D20" i="8"/>
  <c r="D28" i="8"/>
  <c r="D24" i="8"/>
  <c r="E41" i="7"/>
  <c r="E271" i="7"/>
  <c r="C270" i="7"/>
  <c r="E13" i="7"/>
  <c r="E33" i="7"/>
  <c r="C149" i="7" l="1"/>
  <c r="C185" i="7"/>
  <c r="C176" i="7"/>
  <c r="C212" i="7"/>
  <c r="C221" i="7"/>
  <c r="C230" i="7"/>
  <c r="C167" i="7"/>
  <c r="C239" i="7"/>
  <c r="C158" i="7"/>
  <c r="C194" i="7"/>
  <c r="C248" i="7"/>
  <c r="C104" i="7"/>
  <c r="C203" i="7"/>
  <c r="E204" i="7"/>
  <c r="E240" i="7"/>
  <c r="E159" i="7"/>
  <c r="E222" i="7"/>
  <c r="E168" i="7"/>
  <c r="E231" i="7"/>
  <c r="E213" i="7"/>
  <c r="E177" i="7"/>
  <c r="E249" i="7"/>
  <c r="E195" i="7"/>
  <c r="E186" i="7"/>
  <c r="E105" i="7"/>
  <c r="E150" i="7"/>
  <c r="C140" i="7"/>
  <c r="C122" i="7"/>
  <c r="C131" i="7"/>
  <c r="E123" i="7"/>
  <c r="E141" i="7"/>
  <c r="E132" i="7"/>
  <c r="C113" i="7"/>
  <c r="E114" i="7"/>
  <c r="E40" i="7"/>
  <c r="E270" i="7"/>
  <c r="E22" i="8"/>
  <c r="E20" i="7" s="1"/>
  <c r="H24" i="8"/>
  <c r="H25" i="8"/>
  <c r="F24" i="8"/>
  <c r="F28" i="8"/>
  <c r="H28" i="8"/>
  <c r="F29" i="8"/>
  <c r="D22" i="8"/>
  <c r="D20" i="7" s="1"/>
  <c r="F25" i="8"/>
  <c r="G25" i="8"/>
  <c r="D30" i="8"/>
  <c r="G28" i="8"/>
  <c r="G24" i="8"/>
  <c r="G29" i="8"/>
  <c r="H29" i="8"/>
  <c r="C20" i="7"/>
  <c r="C293" i="7" s="1"/>
  <c r="C26" i="8"/>
  <c r="C49" i="7" s="1"/>
  <c r="C294" i="7" s="1"/>
  <c r="D26" i="8"/>
  <c r="D49" i="7" s="1"/>
  <c r="D294" i="7" s="1"/>
  <c r="C30" i="8"/>
  <c r="D14" i="4"/>
  <c r="E3" i="7" s="1"/>
  <c r="B10" i="4"/>
  <c r="G7" i="6"/>
  <c r="I7" i="6" s="1"/>
  <c r="G6" i="6"/>
  <c r="I6" i="6" s="1"/>
  <c r="G5" i="6"/>
  <c r="I5" i="6" s="1"/>
  <c r="G4" i="6"/>
  <c r="I4" i="6" s="1"/>
  <c r="H7" i="6"/>
  <c r="H6" i="6"/>
  <c r="H5" i="6"/>
  <c r="H4" i="6"/>
  <c r="H3" i="6"/>
  <c r="H8" i="6" s="1"/>
  <c r="G3" i="6"/>
  <c r="I3" i="6" s="1"/>
  <c r="I8" i="6" l="1"/>
  <c r="G8" i="6"/>
  <c r="E194" i="7"/>
  <c r="E185" i="7"/>
  <c r="E212" i="7"/>
  <c r="E203" i="7"/>
  <c r="E239" i="7"/>
  <c r="E176" i="7"/>
  <c r="E104" i="7"/>
  <c r="E158" i="7"/>
  <c r="E149" i="7"/>
  <c r="E248" i="7"/>
  <c r="E167" i="7"/>
  <c r="E230" i="7"/>
  <c r="E221" i="7"/>
  <c r="E122" i="7"/>
  <c r="E140" i="7"/>
  <c r="E131" i="7"/>
  <c r="E113" i="7"/>
  <c r="G26" i="8"/>
  <c r="F26" i="8"/>
  <c r="C67" i="7"/>
  <c r="F30" i="8"/>
  <c r="D67" i="7"/>
  <c r="G30" i="8"/>
  <c r="E30" i="8"/>
  <c r="E26" i="8"/>
  <c r="G4" i="2"/>
  <c r="C30" i="7" l="1"/>
  <c r="C83" i="7"/>
  <c r="D83" i="7"/>
  <c r="E49" i="7"/>
  <c r="E294" i="7" s="1"/>
  <c r="H26" i="8"/>
  <c r="E67" i="7"/>
  <c r="H30" i="8"/>
  <c r="D30" i="7"/>
  <c r="E28" i="7"/>
  <c r="D2" i="2"/>
  <c r="G6" i="2"/>
  <c r="G3" i="2"/>
  <c r="G5" i="2"/>
  <c r="C82" i="7" l="1"/>
  <c r="C29" i="7"/>
  <c r="E82" i="7"/>
  <c r="D92" i="7"/>
  <c r="D182" i="7"/>
  <c r="C92" i="7"/>
  <c r="C182" i="7"/>
  <c r="C191" i="7"/>
  <c r="C137" i="7"/>
  <c r="C164" i="7"/>
  <c r="C128" i="7"/>
  <c r="C110" i="7"/>
  <c r="C173" i="7"/>
  <c r="C209" i="7"/>
  <c r="C227" i="7"/>
  <c r="C101" i="7"/>
  <c r="C146" i="7"/>
  <c r="C155" i="7"/>
  <c r="C218" i="7"/>
  <c r="C119" i="7"/>
  <c r="C236" i="7"/>
  <c r="C200" i="7"/>
  <c r="C245" i="7"/>
  <c r="D101" i="7"/>
  <c r="D146" i="7"/>
  <c r="D209" i="7"/>
  <c r="D200" i="7"/>
  <c r="D236" i="7"/>
  <c r="D155" i="7"/>
  <c r="D245" i="7"/>
  <c r="D164" i="7"/>
  <c r="D218" i="7"/>
  <c r="D227" i="7"/>
  <c r="D191" i="7"/>
  <c r="D173" i="7"/>
  <c r="D119" i="7"/>
  <c r="D137" i="7"/>
  <c r="D128" i="7"/>
  <c r="D110" i="7"/>
  <c r="E29" i="7"/>
  <c r="D4" i="2"/>
  <c r="D5" i="2"/>
  <c r="D6" i="2"/>
  <c r="D3" i="2"/>
  <c r="E91" i="7" l="1"/>
  <c r="E181" i="7"/>
  <c r="C181" i="7"/>
  <c r="C91" i="7"/>
  <c r="C190" i="7"/>
  <c r="C100" i="7"/>
  <c r="C109" i="7"/>
  <c r="C172" i="7"/>
  <c r="C145" i="7"/>
  <c r="C217" i="7"/>
  <c r="C208" i="7"/>
  <c r="C163" i="7"/>
  <c r="C235" i="7"/>
  <c r="C136" i="7"/>
  <c r="C199" i="7"/>
  <c r="C154" i="7"/>
  <c r="C127" i="7"/>
  <c r="C118" i="7"/>
  <c r="C226" i="7"/>
  <c r="C244" i="7"/>
  <c r="E190" i="7"/>
  <c r="E100" i="7"/>
  <c r="E154" i="7"/>
  <c r="E226" i="7"/>
  <c r="E145" i="7"/>
  <c r="E235" i="7"/>
  <c r="E163" i="7"/>
  <c r="E199" i="7"/>
  <c r="E217" i="7"/>
  <c r="E172" i="7"/>
  <c r="E244" i="7"/>
  <c r="E208" i="7"/>
  <c r="E127" i="7"/>
  <c r="E118" i="7"/>
  <c r="E136" i="7"/>
  <c r="E109" i="7"/>
  <c r="B5" i="6"/>
  <c r="D18" i="4"/>
  <c r="C7" i="6"/>
  <c r="B7" i="6"/>
  <c r="D7" i="6" s="1"/>
  <c r="J7" i="6" s="1"/>
  <c r="C6" i="6"/>
  <c r="B6" i="6"/>
  <c r="D6" i="6" s="1"/>
  <c r="J6" i="6" s="1"/>
  <c r="C5" i="6"/>
  <c r="C4" i="6"/>
  <c r="B4" i="6"/>
  <c r="C3" i="6"/>
  <c r="B3" i="6"/>
  <c r="C6" i="3"/>
  <c r="C5" i="3"/>
  <c r="C4" i="3"/>
  <c r="C3" i="3"/>
  <c r="C2" i="3"/>
  <c r="D3" i="6" l="1"/>
  <c r="J3" i="6"/>
  <c r="E4" i="7"/>
  <c r="D5" i="6"/>
  <c r="J5" i="6" s="1"/>
  <c r="D4" i="6"/>
  <c r="J4" i="6" s="1"/>
  <c r="D8" i="6" l="1"/>
  <c r="J8" i="6" s="1"/>
  <c r="E83" i="7"/>
  <c r="E30" i="7"/>
  <c r="D8" i="2"/>
  <c r="E2" i="2" s="1"/>
  <c r="F2" i="2" s="1"/>
  <c r="I13" i="4"/>
  <c r="D19" i="4" s="1"/>
  <c r="F26" i="9" s="1"/>
  <c r="F27" i="9" s="1"/>
  <c r="F28" i="9" s="1"/>
  <c r="I12" i="4"/>
  <c r="I11" i="4"/>
  <c r="B11" i="4" s="1"/>
  <c r="D6" i="4"/>
  <c r="C6" i="4"/>
  <c r="E209" i="7" l="1"/>
  <c r="E200" i="7"/>
  <c r="E182" i="7"/>
  <c r="E92" i="7"/>
  <c r="E164" i="7"/>
  <c r="E101" i="7"/>
  <c r="E245" i="7"/>
  <c r="E191" i="7"/>
  <c r="E146" i="7"/>
  <c r="E173" i="7"/>
  <c r="E227" i="7"/>
  <c r="E236" i="7"/>
  <c r="E155" i="7"/>
  <c r="E218" i="7"/>
  <c r="E128" i="7"/>
  <c r="E137" i="7"/>
  <c r="E119" i="7"/>
  <c r="E110" i="7"/>
  <c r="F2" i="9"/>
  <c r="F3" i="9" s="1"/>
  <c r="F4" i="9" s="1"/>
  <c r="B42" i="4"/>
  <c r="E6" i="4"/>
  <c r="D16" i="4"/>
  <c r="C14" i="4"/>
  <c r="D3" i="7" s="1"/>
  <c r="D82" i="7" s="1"/>
  <c r="E3" i="2"/>
  <c r="E6" i="2"/>
  <c r="F6" i="2" s="1"/>
  <c r="E5" i="2"/>
  <c r="F5" i="2" s="1"/>
  <c r="E4" i="2"/>
  <c r="F4" i="2" s="1"/>
  <c r="C10" i="4"/>
  <c r="D2" i="7" s="1"/>
  <c r="C2" i="7"/>
  <c r="E3" i="4"/>
  <c r="E2" i="4"/>
  <c r="E19" i="4"/>
  <c r="E18" i="4"/>
  <c r="B4" i="2" s="1"/>
  <c r="D20" i="4"/>
  <c r="D25" i="4"/>
  <c r="D53" i="4" s="1"/>
  <c r="C25" i="4"/>
  <c r="C53" i="4" s="1"/>
  <c r="C81" i="7" l="1"/>
  <c r="D81" i="7"/>
  <c r="D91" i="7"/>
  <c r="D199" i="7"/>
  <c r="D181" i="7"/>
  <c r="C28" i="7"/>
  <c r="D29" i="7"/>
  <c r="E20" i="4"/>
  <c r="F29" i="9"/>
  <c r="F30" i="9" s="1"/>
  <c r="F31" i="9" s="1"/>
  <c r="D43" i="4"/>
  <c r="F23" i="9"/>
  <c r="F24" i="9" s="1"/>
  <c r="F25" i="9" s="1"/>
  <c r="B25" i="4"/>
  <c r="D29" i="4"/>
  <c r="D52" i="4" s="1"/>
  <c r="E6" i="7"/>
  <c r="E85" i="7" s="1"/>
  <c r="D28" i="7"/>
  <c r="C29" i="4"/>
  <c r="D6" i="7"/>
  <c r="D85" i="7" s="1"/>
  <c r="D15" i="4"/>
  <c r="E14" i="4"/>
  <c r="B3" i="2" s="1"/>
  <c r="C15" i="4"/>
  <c r="F14" i="9" s="1"/>
  <c r="F15" i="9" s="1"/>
  <c r="F16" i="9" s="1"/>
  <c r="F3" i="2"/>
  <c r="C16" i="4"/>
  <c r="C12" i="4"/>
  <c r="F11" i="9" s="1"/>
  <c r="F12" i="9" s="1"/>
  <c r="F13" i="9" s="1"/>
  <c r="C11" i="4"/>
  <c r="F5" i="9" s="1"/>
  <c r="F6" i="9" s="1"/>
  <c r="F7" i="9" s="1"/>
  <c r="B12" i="4"/>
  <c r="F8" i="9" s="1"/>
  <c r="F9" i="9" s="1"/>
  <c r="F10" i="9" s="1"/>
  <c r="E10" i="4"/>
  <c r="D26" i="4"/>
  <c r="F56" i="9" s="1"/>
  <c r="F57" i="9" s="1"/>
  <c r="F58" i="9" s="1"/>
  <c r="D27" i="4"/>
  <c r="F65" i="9" s="1"/>
  <c r="F66" i="9" s="1"/>
  <c r="F67" i="9" s="1"/>
  <c r="C26" i="4"/>
  <c r="F53" i="9" s="1"/>
  <c r="F54" i="9" s="1"/>
  <c r="F55" i="9" s="1"/>
  <c r="C27" i="4"/>
  <c r="F62" i="9" s="1"/>
  <c r="F63" i="9" s="1"/>
  <c r="F64" i="9" s="1"/>
  <c r="D90" i="7" l="1"/>
  <c r="D180" i="7"/>
  <c r="D189" i="7"/>
  <c r="D94" i="7"/>
  <c r="D184" i="7"/>
  <c r="C234" i="7"/>
  <c r="C99" i="7"/>
  <c r="C180" i="7"/>
  <c r="C189" i="7"/>
  <c r="C162" i="7"/>
  <c r="C90" i="7"/>
  <c r="E94" i="7"/>
  <c r="E184" i="7"/>
  <c r="D154" i="7"/>
  <c r="D244" i="7"/>
  <c r="D235" i="7"/>
  <c r="D100" i="7"/>
  <c r="D190" i="7"/>
  <c r="D217" i="7"/>
  <c r="D163" i="7"/>
  <c r="D226" i="7"/>
  <c r="D172" i="7"/>
  <c r="D208" i="7"/>
  <c r="D145" i="7"/>
  <c r="D118" i="7"/>
  <c r="D136" i="7"/>
  <c r="D127" i="7"/>
  <c r="D109" i="7"/>
  <c r="D32" i="7"/>
  <c r="E32" i="7"/>
  <c r="B27" i="4"/>
  <c r="F59" i="9" s="1"/>
  <c r="F60" i="9" s="1"/>
  <c r="F61" i="9" s="1"/>
  <c r="B53" i="4"/>
  <c r="C31" i="4"/>
  <c r="F44" i="9" s="1"/>
  <c r="F45" i="9" s="1"/>
  <c r="F46" i="9" s="1"/>
  <c r="C52" i="4"/>
  <c r="D23" i="4"/>
  <c r="F17" i="9"/>
  <c r="F18" i="9" s="1"/>
  <c r="F19" i="9" s="1"/>
  <c r="E16" i="4"/>
  <c r="F20" i="9"/>
  <c r="F21" i="9" s="1"/>
  <c r="F22" i="9" s="1"/>
  <c r="E25" i="4"/>
  <c r="B6" i="2" s="1"/>
  <c r="B26" i="4"/>
  <c r="B29" i="4"/>
  <c r="B52" i="4" s="1"/>
  <c r="C6" i="7"/>
  <c r="C85" i="7" s="1"/>
  <c r="D5" i="7"/>
  <c r="C30" i="4"/>
  <c r="D42" i="4"/>
  <c r="D30" i="4"/>
  <c r="E5" i="7"/>
  <c r="D31" i="4"/>
  <c r="E15" i="4"/>
  <c r="C42" i="4"/>
  <c r="C23" i="4"/>
  <c r="C43" i="4"/>
  <c r="B2" i="2"/>
  <c r="B23" i="4"/>
  <c r="E12" i="4"/>
  <c r="B43" i="4"/>
  <c r="E11" i="4"/>
  <c r="C45" i="4"/>
  <c r="E27" i="4" l="1"/>
  <c r="G27" i="4" s="1"/>
  <c r="E84" i="7"/>
  <c r="D84" i="7"/>
  <c r="C94" i="7"/>
  <c r="C184" i="7"/>
  <c r="D229" i="7"/>
  <c r="D175" i="7"/>
  <c r="D202" i="7"/>
  <c r="D193" i="7"/>
  <c r="D103" i="7"/>
  <c r="D247" i="7"/>
  <c r="D238" i="7"/>
  <c r="D211" i="7"/>
  <c r="D157" i="7"/>
  <c r="D220" i="7"/>
  <c r="D166" i="7"/>
  <c r="D148" i="7"/>
  <c r="E148" i="7"/>
  <c r="E238" i="7"/>
  <c r="E175" i="7"/>
  <c r="E202" i="7"/>
  <c r="E193" i="7"/>
  <c r="E247" i="7"/>
  <c r="E220" i="7"/>
  <c r="E211" i="7"/>
  <c r="E103" i="7"/>
  <c r="E229" i="7"/>
  <c r="E166" i="7"/>
  <c r="E157" i="7"/>
  <c r="E139" i="7"/>
  <c r="E121" i="7"/>
  <c r="E130" i="7"/>
  <c r="D139" i="7"/>
  <c r="D130" i="7"/>
  <c r="D121" i="7"/>
  <c r="E112" i="7"/>
  <c r="D112" i="7"/>
  <c r="C32" i="7"/>
  <c r="E26" i="4"/>
  <c r="F50" i="9"/>
  <c r="F51" i="9" s="1"/>
  <c r="F52" i="9" s="1"/>
  <c r="D44" i="4"/>
  <c r="F38" i="9"/>
  <c r="F39" i="9" s="1"/>
  <c r="F40" i="9" s="1"/>
  <c r="C44" i="4"/>
  <c r="C46" i="4" s="1"/>
  <c r="F35" i="9"/>
  <c r="F36" i="9" s="1"/>
  <c r="F37" i="9" s="1"/>
  <c r="E42" i="4"/>
  <c r="D45" i="4"/>
  <c r="D46" i="4" s="1"/>
  <c r="F47" i="9"/>
  <c r="F48" i="9" s="1"/>
  <c r="F49" i="9" s="1"/>
  <c r="D12" i="7"/>
  <c r="D11" i="7"/>
  <c r="E11" i="7"/>
  <c r="E12" i="7"/>
  <c r="D31" i="7"/>
  <c r="D10" i="7"/>
  <c r="E29" i="4"/>
  <c r="B5" i="2" s="1"/>
  <c r="B8" i="2" s="1"/>
  <c r="C2" i="2" s="1"/>
  <c r="H2" i="2" s="1"/>
  <c r="B31" i="4"/>
  <c r="B30" i="4"/>
  <c r="F32" i="9" s="1"/>
  <c r="F33" i="9" s="1"/>
  <c r="F34" i="9" s="1"/>
  <c r="C5" i="7"/>
  <c r="C10" i="7" s="1"/>
  <c r="C16" i="7" s="1"/>
  <c r="C33" i="4"/>
  <c r="E31" i="4"/>
  <c r="D33" i="4"/>
  <c r="E31" i="7"/>
  <c r="E10" i="7"/>
  <c r="E43" i="4"/>
  <c r="E23" i="4"/>
  <c r="D183" i="7" l="1"/>
  <c r="D262" i="7" s="1"/>
  <c r="D93" i="7"/>
  <c r="D252" i="7" s="1"/>
  <c r="C84" i="7"/>
  <c r="E183" i="7"/>
  <c r="E262" i="7" s="1"/>
  <c r="E93" i="7"/>
  <c r="E252" i="7" s="1"/>
  <c r="D219" i="7"/>
  <c r="D174" i="7"/>
  <c r="D165" i="7"/>
  <c r="D102" i="7"/>
  <c r="D210" i="7"/>
  <c r="D147" i="7"/>
  <c r="D228" i="7"/>
  <c r="D237" i="7"/>
  <c r="D156" i="7"/>
  <c r="D192" i="7"/>
  <c r="D263" i="7" s="1"/>
  <c r="D246" i="7"/>
  <c r="D201" i="7"/>
  <c r="C229" i="7"/>
  <c r="C148" i="7"/>
  <c r="C166" i="7"/>
  <c r="C193" i="7"/>
  <c r="C175" i="7"/>
  <c r="C247" i="7"/>
  <c r="C202" i="7"/>
  <c r="C238" i="7"/>
  <c r="C220" i="7"/>
  <c r="C103" i="7"/>
  <c r="C211" i="7"/>
  <c r="C157" i="7"/>
  <c r="C139" i="7"/>
  <c r="C130" i="7"/>
  <c r="C121" i="7"/>
  <c r="D138" i="7"/>
  <c r="D129" i="7"/>
  <c r="D120" i="7"/>
  <c r="D111" i="7"/>
  <c r="C112" i="7"/>
  <c r="E37" i="7"/>
  <c r="E45" i="7" s="1"/>
  <c r="C22" i="7"/>
  <c r="C296" i="7" s="1"/>
  <c r="C31" i="7"/>
  <c r="E17" i="7"/>
  <c r="E23" i="7" s="1"/>
  <c r="D18" i="7"/>
  <c r="D24" i="7" s="1"/>
  <c r="E16" i="7"/>
  <c r="E22" i="7" s="1"/>
  <c r="E296" i="7" s="1"/>
  <c r="D16" i="7"/>
  <c r="D22" i="7" s="1"/>
  <c r="D296" i="7" s="1"/>
  <c r="E18" i="7"/>
  <c r="E24" i="7" s="1"/>
  <c r="D17" i="7"/>
  <c r="D23" i="7" s="1"/>
  <c r="B45" i="4"/>
  <c r="E45" i="4" s="1"/>
  <c r="F41" i="9"/>
  <c r="F42" i="9" s="1"/>
  <c r="F43" i="9" s="1"/>
  <c r="E39" i="7"/>
  <c r="E47" i="7" s="1"/>
  <c r="E38" i="7"/>
  <c r="D39" i="7"/>
  <c r="D37" i="7"/>
  <c r="D38" i="7"/>
  <c r="C12" i="7"/>
  <c r="C11" i="7"/>
  <c r="B33" i="4"/>
  <c r="E33" i="4" s="1"/>
  <c r="B44" i="4"/>
  <c r="E30" i="4"/>
  <c r="C5" i="2"/>
  <c r="H5" i="2" s="1"/>
  <c r="C6" i="2"/>
  <c r="H6" i="2" s="1"/>
  <c r="C3" i="2"/>
  <c r="H3" i="2" s="1"/>
  <c r="C4" i="2"/>
  <c r="H4" i="2" s="1"/>
  <c r="C183" i="7" l="1"/>
  <c r="C262" i="7" s="1"/>
  <c r="C219" i="7"/>
  <c r="C93" i="7"/>
  <c r="C252" i="7" s="1"/>
  <c r="C37" i="7"/>
  <c r="E174" i="7"/>
  <c r="E237" i="7"/>
  <c r="E228" i="7"/>
  <c r="E192" i="7"/>
  <c r="E263" i="7" s="1"/>
  <c r="E165" i="7"/>
  <c r="E219" i="7"/>
  <c r="E201" i="7"/>
  <c r="E156" i="7"/>
  <c r="E147" i="7"/>
  <c r="E246" i="7"/>
  <c r="E102" i="7"/>
  <c r="E210" i="7"/>
  <c r="E129" i="7"/>
  <c r="E138" i="7"/>
  <c r="E120" i="7"/>
  <c r="E111" i="7"/>
  <c r="E46" i="7"/>
  <c r="E64" i="7" s="1"/>
  <c r="E71" i="7" s="1"/>
  <c r="E75" i="7" s="1"/>
  <c r="C17" i="7"/>
  <c r="C23" i="7" s="1"/>
  <c r="C18" i="7"/>
  <c r="C24" i="7" s="1"/>
  <c r="C38" i="7"/>
  <c r="C46" i="7" s="1"/>
  <c r="E65" i="7"/>
  <c r="E54" i="7"/>
  <c r="E58" i="7" s="1"/>
  <c r="E53" i="7"/>
  <c r="E57" i="7" s="1"/>
  <c r="E52" i="7"/>
  <c r="E56" i="7" s="1"/>
  <c r="E63" i="7"/>
  <c r="C39" i="7"/>
  <c r="C47" i="7" s="1"/>
  <c r="B46" i="4"/>
  <c r="E46" i="4" s="1"/>
  <c r="E49" i="4" s="1"/>
  <c r="E44" i="4"/>
  <c r="H8" i="2"/>
  <c r="D33" i="7" s="1"/>
  <c r="C274" i="7" l="1"/>
  <c r="C301" i="7" s="1"/>
  <c r="C321" i="7" s="1"/>
  <c r="C45" i="7"/>
  <c r="C63" i="7" s="1"/>
  <c r="C70" i="7" s="1"/>
  <c r="C165" i="7"/>
  <c r="C260" i="7" s="1"/>
  <c r="C147" i="7"/>
  <c r="C228" i="7"/>
  <c r="C102" i="7"/>
  <c r="C253" i="7" s="1"/>
  <c r="C210" i="7"/>
  <c r="C156" i="7"/>
  <c r="C246" i="7"/>
  <c r="C192" i="7"/>
  <c r="C263" i="7" s="1"/>
  <c r="C174" i="7"/>
  <c r="C201" i="7"/>
  <c r="C237" i="7"/>
  <c r="C268" i="7" s="1"/>
  <c r="C129" i="7"/>
  <c r="C120" i="7"/>
  <c r="C138" i="7"/>
  <c r="C111" i="7"/>
  <c r="D40" i="7"/>
  <c r="D45" i="7" s="1"/>
  <c r="D270" i="7"/>
  <c r="D46" i="7"/>
  <c r="D53" i="7" s="1"/>
  <c r="D57" i="7" s="1"/>
  <c r="E70" i="7"/>
  <c r="E74" i="7" s="1"/>
  <c r="E72" i="7"/>
  <c r="E76" i="7" s="1"/>
  <c r="E6" i="6"/>
  <c r="L6" i="6" s="1"/>
  <c r="M6" i="6" s="1"/>
  <c r="C65" i="7"/>
  <c r="C54" i="7"/>
  <c r="C58" i="7" s="1"/>
  <c r="C64" i="7"/>
  <c r="C53" i="7"/>
  <c r="C57" i="7" s="1"/>
  <c r="F44" i="4"/>
  <c r="F42" i="4"/>
  <c r="F45" i="4"/>
  <c r="F43" i="4"/>
  <c r="C52" i="7" l="1"/>
  <c r="C56" i="7" s="1"/>
  <c r="D185" i="7"/>
  <c r="D167" i="7"/>
  <c r="D230" i="7"/>
  <c r="D149" i="7"/>
  <c r="D221" i="7"/>
  <c r="D176" i="7"/>
  <c r="D104" i="7"/>
  <c r="D212" i="7"/>
  <c r="D203" i="7"/>
  <c r="D239" i="7"/>
  <c r="D158" i="7"/>
  <c r="D194" i="7"/>
  <c r="D248" i="7"/>
  <c r="D122" i="7"/>
  <c r="D140" i="7"/>
  <c r="D131" i="7"/>
  <c r="D64" i="7"/>
  <c r="D71" i="7" s="1"/>
  <c r="D75" i="7" s="1"/>
  <c r="D113" i="7"/>
  <c r="D47" i="7"/>
  <c r="D54" i="7" s="1"/>
  <c r="D58" i="7" s="1"/>
  <c r="C71" i="7"/>
  <c r="C75" i="7" s="1"/>
  <c r="C72" i="7"/>
  <c r="C76" i="7" s="1"/>
  <c r="D52" i="7"/>
  <c r="D56" i="7" s="1"/>
  <c r="C74" i="7"/>
  <c r="D63" i="7"/>
  <c r="D70" i="7" s="1"/>
  <c r="D74" i="7" s="1"/>
  <c r="G30" i="4"/>
  <c r="B5" i="3"/>
  <c r="D5" i="3" s="1"/>
  <c r="E5" i="3" s="1"/>
  <c r="B6" i="3"/>
  <c r="D6" i="3" s="1"/>
  <c r="E6" i="3" s="1"/>
  <c r="B2" i="3"/>
  <c r="D2" i="3" s="1"/>
  <c r="E2" i="3" s="1"/>
  <c r="B3" i="3"/>
  <c r="D3" i="3" s="1"/>
  <c r="E3" i="3" s="1"/>
  <c r="B4" i="3"/>
  <c r="D4" i="3" s="1"/>
  <c r="E4" i="3" s="1"/>
  <c r="E4" i="6"/>
  <c r="L4" i="6" s="1"/>
  <c r="M4" i="6" s="1"/>
  <c r="G29" i="4"/>
  <c r="E3" i="6"/>
  <c r="E5" i="6"/>
  <c r="L5" i="6" s="1"/>
  <c r="M5" i="6" s="1"/>
  <c r="E7" i="6"/>
  <c r="L7" i="6" s="1"/>
  <c r="M7" i="6" s="1"/>
  <c r="G26" i="4"/>
  <c r="D65" i="7" l="1"/>
  <c r="D72" i="7" s="1"/>
  <c r="D76" i="7" s="1"/>
  <c r="E8" i="6"/>
  <c r="L3" i="6"/>
  <c r="L8" i="6" l="1"/>
  <c r="M8" i="6" s="1"/>
  <c r="M3" i="6"/>
  <c r="C198" i="7"/>
  <c r="C284" i="7"/>
  <c r="C311" i="7" s="1"/>
  <c r="C331" i="7" s="1"/>
  <c r="C282" i="7"/>
  <c r="C309" i="7" s="1"/>
  <c r="C329" i="7" s="1"/>
  <c r="C108" i="7"/>
  <c r="C290" i="7"/>
  <c r="C317" i="7" s="1"/>
  <c r="C337" i="7" s="1"/>
  <c r="C126" i="7"/>
  <c r="C117" i="7"/>
  <c r="C216" i="7"/>
  <c r="C266" i="7" s="1"/>
  <c r="C288" i="7" s="1"/>
  <c r="C315" i="7" s="1"/>
  <c r="C335" i="7" s="1"/>
  <c r="C243" i="7"/>
  <c r="C269" i="7" s="1"/>
  <c r="C291" i="7" s="1"/>
  <c r="C318" i="7" s="1"/>
  <c r="C338" i="7" s="1"/>
  <c r="C225" i="7"/>
  <c r="C144" i="7"/>
  <c r="C275" i="7"/>
  <c r="C302" i="7" s="1"/>
  <c r="C322" i="7" s="1"/>
  <c r="C153" i="7"/>
  <c r="C285" i="7"/>
  <c r="C312" i="7" s="1"/>
  <c r="C332" i="7" s="1"/>
  <c r="C135" i="7"/>
  <c r="C207" i="7"/>
  <c r="C265" i="7" s="1"/>
  <c r="C287" i="7"/>
  <c r="C314" i="7" s="1"/>
  <c r="C334" i="7" s="1"/>
  <c r="C171" i="7"/>
  <c r="D153" i="7"/>
  <c r="E198" i="7"/>
  <c r="E162" i="7"/>
  <c r="D207" i="7"/>
  <c r="D265" i="7" s="1"/>
  <c r="D287" i="7"/>
  <c r="D314" i="7" s="1"/>
  <c r="D334" i="7" s="1"/>
  <c r="D198" i="7"/>
  <c r="E284" i="7"/>
  <c r="E311" i="7" s="1"/>
  <c r="E331" i="7" s="1"/>
  <c r="E144" i="7"/>
  <c r="E99" i="7"/>
  <c r="D144" i="7"/>
  <c r="D126" i="7"/>
  <c r="E135" i="7"/>
  <c r="E216" i="7"/>
  <c r="E117" i="7"/>
  <c r="E108" i="7"/>
  <c r="D216" i="7"/>
  <c r="D266" i="7" s="1"/>
  <c r="D288" i="7" s="1"/>
  <c r="D315" i="7" s="1"/>
  <c r="D335" i="7" s="1"/>
  <c r="D108" i="7"/>
  <c r="D135" i="7"/>
  <c r="E274" i="7"/>
  <c r="E126" i="7"/>
  <c r="E243" i="7"/>
  <c r="D99" i="7"/>
  <c r="D253" i="7" s="1"/>
  <c r="D275" i="7" s="1"/>
  <c r="D302" i="7" s="1"/>
  <c r="D322" i="7" s="1"/>
  <c r="D225" i="7"/>
  <c r="D267" i="7" s="1"/>
  <c r="D289" i="7" s="1"/>
  <c r="D316" i="7" s="1"/>
  <c r="D336" i="7" s="1"/>
  <c r="D243" i="7"/>
  <c r="D269" i="7" s="1"/>
  <c r="D291" i="7" s="1"/>
  <c r="D318" i="7" s="1"/>
  <c r="D338" i="7" s="1"/>
  <c r="E225" i="7"/>
  <c r="E171" i="7"/>
  <c r="D162" i="7"/>
  <c r="D260" i="7" s="1"/>
  <c r="D282" i="7" s="1"/>
  <c r="D309" i="7" s="1"/>
  <c r="D329" i="7" s="1"/>
  <c r="D285" i="7"/>
  <c r="D312" i="7" s="1"/>
  <c r="D332" i="7" s="1"/>
  <c r="D274" i="7"/>
  <c r="D171" i="7"/>
  <c r="D261" i="7" s="1"/>
  <c r="D283" i="7"/>
  <c r="D310" i="7" s="1"/>
  <c r="D330" i="7" s="1"/>
  <c r="D234" i="7"/>
  <c r="D268" i="7" s="1"/>
  <c r="D290" i="7"/>
  <c r="D317" i="7" s="1"/>
  <c r="D337" i="7" s="1"/>
  <c r="E153" i="7"/>
  <c r="E259" i="7" s="1"/>
  <c r="E281" i="7" s="1"/>
  <c r="E308" i="7" s="1"/>
  <c r="E328" i="7" s="1"/>
  <c r="E285" i="7"/>
  <c r="E312" i="7" s="1"/>
  <c r="E332" i="7" s="1"/>
  <c r="E207" i="7"/>
  <c r="E234" i="7"/>
  <c r="D284" i="7"/>
  <c r="D311" i="7" s="1"/>
  <c r="D331" i="7" s="1"/>
  <c r="D117" i="7"/>
  <c r="D255" i="7" s="1"/>
  <c r="D277" i="7" s="1"/>
  <c r="D304" i="7" s="1"/>
  <c r="D324" i="7" s="1"/>
  <c r="D264" i="7" l="1"/>
  <c r="D286" i="7" s="1"/>
  <c r="D313" i="7" s="1"/>
  <c r="D333" i="7" s="1"/>
  <c r="E256" i="7"/>
  <c r="E278" i="7" s="1"/>
  <c r="E305" i="7" s="1"/>
  <c r="E325" i="7" s="1"/>
  <c r="C256" i="7"/>
  <c r="C278" i="7" s="1"/>
  <c r="C305" i="7" s="1"/>
  <c r="C325" i="7" s="1"/>
  <c r="E265" i="7"/>
  <c r="E287" i="7" s="1"/>
  <c r="E314" i="7" s="1"/>
  <c r="E334" i="7" s="1"/>
  <c r="C258" i="7"/>
  <c r="C280" i="7" s="1"/>
  <c r="C307" i="7" s="1"/>
  <c r="C327" i="7" s="1"/>
  <c r="E258" i="7"/>
  <c r="E280" i="7" s="1"/>
  <c r="E307" i="7" s="1"/>
  <c r="E327" i="7" s="1"/>
  <c r="E269" i="7"/>
  <c r="E291" i="7" s="1"/>
  <c r="E318" i="7" s="1"/>
  <c r="E338" i="7" s="1"/>
  <c r="D301" i="7"/>
  <c r="D321" i="7" s="1"/>
  <c r="E253" i="7"/>
  <c r="E275" i="7" s="1"/>
  <c r="E302" i="7" s="1"/>
  <c r="E322" i="7" s="1"/>
  <c r="E260" i="7"/>
  <c r="E282" i="7" s="1"/>
  <c r="E309" i="7" s="1"/>
  <c r="E329" i="7" s="1"/>
  <c r="D254" i="7"/>
  <c r="D276" i="7" s="1"/>
  <c r="D303" i="7" s="1"/>
  <c r="D323" i="7" s="1"/>
  <c r="D259" i="7"/>
  <c r="D281" i="7" s="1"/>
  <c r="D308" i="7" s="1"/>
  <c r="D328" i="7" s="1"/>
  <c r="E254" i="7"/>
  <c r="E276" i="7" s="1"/>
  <c r="E303" i="7" s="1"/>
  <c r="E323" i="7" s="1"/>
  <c r="D258" i="7"/>
  <c r="D280" i="7" s="1"/>
  <c r="D307" i="7" s="1"/>
  <c r="D327" i="7" s="1"/>
  <c r="E301" i="7"/>
  <c r="E321" i="7" s="1"/>
  <c r="D257" i="7"/>
  <c r="D279" i="7" s="1"/>
  <c r="D306" i="7" s="1"/>
  <c r="D326" i="7" s="1"/>
  <c r="E264" i="7"/>
  <c r="E286" i="7" s="1"/>
  <c r="E313" i="7" s="1"/>
  <c r="E333" i="7" s="1"/>
  <c r="C261" i="7"/>
  <c r="C283" i="7" s="1"/>
  <c r="C310" i="7" s="1"/>
  <c r="C330" i="7" s="1"/>
  <c r="E267" i="7"/>
  <c r="E289" i="7" s="1"/>
  <c r="E316" i="7" s="1"/>
  <c r="E336" i="7" s="1"/>
  <c r="C257" i="7"/>
  <c r="C279" i="7" s="1"/>
  <c r="C306" i="7" s="1"/>
  <c r="C326" i="7" s="1"/>
  <c r="C267" i="7"/>
  <c r="C289" i="7" s="1"/>
  <c r="C316" i="7" s="1"/>
  <c r="C336" i="7" s="1"/>
  <c r="C255" i="7"/>
  <c r="C277" i="7" s="1"/>
  <c r="C304" i="7" s="1"/>
  <c r="C324" i="7" s="1"/>
  <c r="C254" i="7"/>
  <c r="C276" i="7" s="1"/>
  <c r="C303" i="7" s="1"/>
  <c r="C323" i="7" s="1"/>
  <c r="E261" i="7"/>
  <c r="E283" i="7" s="1"/>
  <c r="E310" i="7" s="1"/>
  <c r="E330" i="7" s="1"/>
  <c r="E255" i="7"/>
  <c r="E277" i="7" s="1"/>
  <c r="E304" i="7" s="1"/>
  <c r="E324" i="7" s="1"/>
  <c r="E266" i="7"/>
  <c r="E288" i="7" s="1"/>
  <c r="E315" i="7" s="1"/>
  <c r="E335" i="7" s="1"/>
  <c r="C264" i="7"/>
  <c r="C286" i="7" s="1"/>
  <c r="C313" i="7" s="1"/>
  <c r="C333" i="7" s="1"/>
  <c r="E257" i="7"/>
  <c r="E279" i="7" s="1"/>
  <c r="E306" i="7" s="1"/>
  <c r="E326" i="7" s="1"/>
  <c r="E268" i="7"/>
  <c r="E290" i="7" s="1"/>
  <c r="E317" i="7" s="1"/>
  <c r="E337" i="7" s="1"/>
  <c r="D256" i="7"/>
  <c r="D278" i="7" s="1"/>
  <c r="D305" i="7" s="1"/>
  <c r="D325" i="7" s="1"/>
  <c r="C259" i="7"/>
  <c r="C281" i="7" s="1"/>
  <c r="C308" i="7" s="1"/>
  <c r="C32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tc={0B974C83-E393-4D24-9238-9ECDE1F8DB25}</author>
  </authors>
  <commentList>
    <comment ref="G41" authorId="0" shapeId="0" xr:uid="{0B974C83-E393-4D24-9238-9ECDE1F8DB2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https://gemini.google.com/app/cb2f8387004cee95
Total boran should be 1 to 1.5 M</t>
      </text>
    </comment>
  </commentList>
</comments>
</file>

<file path=xl/sharedStrings.xml><?xml version="1.0" encoding="utf-8"?>
<sst xmlns="http://schemas.openxmlformats.org/spreadsheetml/2006/main" count="495" uniqueCount="171">
  <si>
    <t>Arid</t>
  </si>
  <si>
    <t>Sarid</t>
  </si>
  <si>
    <t>Humid</t>
  </si>
  <si>
    <t>Total</t>
  </si>
  <si>
    <t>Parameters</t>
  </si>
  <si>
    <t>Frac finisher to total animal population</t>
  </si>
  <si>
    <t>Frac boran to total herd</t>
  </si>
  <si>
    <t>Commercial</t>
  </si>
  <si>
    <t>Subsistence</t>
  </si>
  <si>
    <t>Pastoral -- frac boran to total herd</t>
  </si>
  <si>
    <t>Agpastoral -- frac boran to total herd</t>
  </si>
  <si>
    <t>Mixed</t>
  </si>
  <si>
    <t>Mixed -- Frac boran to total herd</t>
  </si>
  <si>
    <t>Pastoral</t>
  </si>
  <si>
    <t>Pastoral - Zebu</t>
  </si>
  <si>
    <t>Pastoral - Boran</t>
  </si>
  <si>
    <t>Agropastoral</t>
  </si>
  <si>
    <t>Agropastoral - Zebu</t>
  </si>
  <si>
    <t>Agropastoral - Boran</t>
  </si>
  <si>
    <t>Mixed - Zebu</t>
  </si>
  <si>
    <t>Mixed - Boran</t>
  </si>
  <si>
    <t>Zebu</t>
  </si>
  <si>
    <t>Cowcalf</t>
  </si>
  <si>
    <t>Finisher</t>
  </si>
  <si>
    <t>Finisher - Boran</t>
  </si>
  <si>
    <t>Finisher - Exotic</t>
  </si>
  <si>
    <t>Cowcalf - Boran</t>
  </si>
  <si>
    <t>Cowcalf - Exotic</t>
  </si>
  <si>
    <t>Check - subsistence</t>
  </si>
  <si>
    <t>Check - all</t>
  </si>
  <si>
    <t>All</t>
  </si>
  <si>
    <t>Breed</t>
  </si>
  <si>
    <t>Exotic</t>
  </si>
  <si>
    <t>Systems</t>
  </si>
  <si>
    <t>Sources</t>
  </si>
  <si>
    <t>Summary</t>
  </si>
  <si>
    <t>Farm decomposition</t>
  </si>
  <si>
    <t>Gatsby</t>
  </si>
  <si>
    <t>APRI (2025)</t>
  </si>
  <si>
    <t>GLS (2019)</t>
  </si>
  <si>
    <t>Frac pastoral to agpastoral - arid</t>
  </si>
  <si>
    <t>Frac mixed to agropastoral - semi arid</t>
  </si>
  <si>
    <t>Cow-calf</t>
  </si>
  <si>
    <t>Fraction</t>
  </si>
  <si>
    <t>Absolute difference</t>
  </si>
  <si>
    <t>Growth rate</t>
  </si>
  <si>
    <t>Absolute growth (M hd)</t>
  </si>
  <si>
    <t>Breed decompositon (by farm-type)</t>
  </si>
  <si>
    <t>Boran -- Subsistence</t>
  </si>
  <si>
    <t>Boran -- Commercial</t>
  </si>
  <si>
    <t>FAO (2019) estimates --- all catl</t>
  </si>
  <si>
    <t>trend.line(FAO)</t>
  </si>
  <si>
    <t>FAO (2019) estimates --- beef cattle -- no trend adjustment</t>
  </si>
  <si>
    <t>FAO (2019) estimates --- beef cattle -- trend adjustment</t>
  </si>
  <si>
    <t>Breed 1</t>
  </si>
  <si>
    <t>Breed 2</t>
  </si>
  <si>
    <t>Excel method</t>
  </si>
  <si>
    <t>Delta total</t>
  </si>
  <si>
    <t>Semi-arid</t>
  </si>
  <si>
    <t>Humid/subhumid</t>
  </si>
  <si>
    <t>Dairy</t>
  </si>
  <si>
    <t>Mean LW -- dairy cattle (kg)</t>
  </si>
  <si>
    <t>FRAC DMI as BW</t>
  </si>
  <si>
    <t>Total weight  - Dairy (kg)</t>
  </si>
  <si>
    <t>Biomass demand (MT/ha/yr)</t>
  </si>
  <si>
    <t>Year</t>
  </si>
  <si>
    <t>2050 R4</t>
  </si>
  <si>
    <t>2050 R8</t>
  </si>
  <si>
    <t>Frac pastoral to agpastoral - semiarid &amp; humid</t>
  </si>
  <si>
    <t>NPP - Grassland</t>
  </si>
  <si>
    <t>NPP - Cropland</t>
  </si>
  <si>
    <t>NPP - Shrubland</t>
  </si>
  <si>
    <t>BIOM GRASS Supply (MT/ha/yr)</t>
  </si>
  <si>
    <t>BIOM CROP Supply (MT/ha/yr)</t>
  </si>
  <si>
    <t>BIOM Total (MT/ha/yr)</t>
  </si>
  <si>
    <t>Biomass supply (MT/yr)</t>
  </si>
  <si>
    <t>Comm beef</t>
  </si>
  <si>
    <t>Subs beef</t>
  </si>
  <si>
    <t>Total beef</t>
  </si>
  <si>
    <t>Carrying capacity (S/D)</t>
  </si>
  <si>
    <t>Sheep</t>
  </si>
  <si>
    <t>Mean LW -- sheep (kg)</t>
  </si>
  <si>
    <t>Total weight - Sheep (kg)</t>
  </si>
  <si>
    <t>2050 - ha/pixel</t>
  </si>
  <si>
    <t>2020 - ha/pixel</t>
  </si>
  <si>
    <t>Simulation average</t>
  </si>
  <si>
    <t>GRASSLAND</t>
  </si>
  <si>
    <t>CROPLAND</t>
  </si>
  <si>
    <t>SHRUBLAND</t>
  </si>
  <si>
    <t>Land areas (ha)</t>
  </si>
  <si>
    <t>NPP (kg C/m2/yr)</t>
  </si>
  <si>
    <t>FRAC Fed -- Arid</t>
  </si>
  <si>
    <t>FRAC Fed -- Semi-arid</t>
  </si>
  <si>
    <t>FRAC Fed -- Humid/Subhumid</t>
  </si>
  <si>
    <t>breed</t>
  </si>
  <si>
    <t>farm.type</t>
  </si>
  <si>
    <t>aez</t>
  </si>
  <si>
    <t>cohort</t>
  </si>
  <si>
    <t>scenario</t>
  </si>
  <si>
    <t>zebu</t>
  </si>
  <si>
    <t>pastoral</t>
  </si>
  <si>
    <t>arid</t>
  </si>
  <si>
    <t>male.finisher</t>
  </si>
  <si>
    <t>baseline</t>
  </si>
  <si>
    <t>female.finisher</t>
  </si>
  <si>
    <t>female.breeder</t>
  </si>
  <si>
    <t>semi.arid</t>
  </si>
  <si>
    <t>boran</t>
  </si>
  <si>
    <t>agro-pastoral</t>
  </si>
  <si>
    <t>humid.subhumid</t>
  </si>
  <si>
    <t>mixed</t>
  </si>
  <si>
    <t>cow-calf</t>
  </si>
  <si>
    <t>beef</t>
  </si>
  <si>
    <t>finisher</t>
  </si>
  <si>
    <t>population.M.hd</t>
  </si>
  <si>
    <t>Pixel adjustment</t>
  </si>
  <si>
    <t>Mean LW -- beef cattle (kg) -- Baseline</t>
  </si>
  <si>
    <t>Mean LW -- beef cattle (kg) -- Low-end</t>
  </si>
  <si>
    <t>Mean LW -- beef cattle (kg) -- High-end</t>
  </si>
  <si>
    <t>Biomass demand (MT/yr) - BL</t>
  </si>
  <si>
    <t>Total weight  - Beef (kg) - WC</t>
  </si>
  <si>
    <t>Total weight  - Beef (kg) - BC</t>
  </si>
  <si>
    <t>Total weight  - Beef (kg) - BL</t>
  </si>
  <si>
    <t>Biomass demand (MT/yr) - BC</t>
  </si>
  <si>
    <t>Biomass demand (MT/yr) - WC</t>
  </si>
  <si>
    <t>Carrying capacity (S/D) - BL</t>
  </si>
  <si>
    <t>Carrying capacity (S/D) - WC</t>
  </si>
  <si>
    <t>Carrying capacity (S/D) - BC</t>
  </si>
  <si>
    <t>BL</t>
  </si>
  <si>
    <t>WC</t>
  </si>
  <si>
    <t>BC</t>
  </si>
  <si>
    <t>Total animal weights (kg), by species</t>
  </si>
  <si>
    <t>Beef - Baseline</t>
  </si>
  <si>
    <t>Beef - Low-end</t>
  </si>
  <si>
    <t>Beef - High-end</t>
  </si>
  <si>
    <t>.</t>
  </si>
  <si>
    <t>Animal populations (M hd)</t>
  </si>
  <si>
    <t xml:space="preserve"> RCP 4.5</t>
  </si>
  <si>
    <t>RCP 8.5</t>
  </si>
  <si>
    <t>Sensitivity analysis</t>
  </si>
  <si>
    <t>Herd scalars</t>
  </si>
  <si>
    <t>+20% Herd size</t>
  </si>
  <si>
    <t>Animal populations (M hd) -- SA scenario specific</t>
  </si>
  <si>
    <t>+20% Zebu</t>
  </si>
  <si>
    <t xml:space="preserve">-20% Herd size </t>
  </si>
  <si>
    <t>-20% Zebu</t>
  </si>
  <si>
    <t>+20% Boran</t>
  </si>
  <si>
    <t>-20% Boran</t>
  </si>
  <si>
    <t>+20% Exotic</t>
  </si>
  <si>
    <t>-20% Exotic</t>
  </si>
  <si>
    <t>+20% Finisher:Breeder</t>
  </si>
  <si>
    <t>-20% Finisher:Breeder</t>
  </si>
  <si>
    <t>+20% Pastoral:Agropastoral</t>
  </si>
  <si>
    <t>-20% Pastoral:Agropastoral</t>
  </si>
  <si>
    <t>+20% Mixed:Agropastoral</t>
  </si>
  <si>
    <t>-20% Mixed:Agropastoral</t>
  </si>
  <si>
    <t>+20% Cowcalf:Finisher</t>
  </si>
  <si>
    <t>-20% Cowcalf:Finisher</t>
  </si>
  <si>
    <t>+20% Commercial:Subsistence</t>
  </si>
  <si>
    <t>-20% Commercial:Subsistence</t>
  </si>
  <si>
    <t>Beef cattle weights - by SA scenario</t>
  </si>
  <si>
    <t>2050 Biomass demand (MT/ha/yr)</t>
  </si>
  <si>
    <t>2050 Total animal weights (kg), by species</t>
  </si>
  <si>
    <t>Animal population growth (M hd) -- 2050</t>
  </si>
  <si>
    <t>Biomass supply (MT/yr) - R4</t>
  </si>
  <si>
    <t>2050 Carrying capacity (S/D)</t>
  </si>
  <si>
    <t>Carrying capacity (S/D) - BL - 2020</t>
  </si>
  <si>
    <t>Color code -- CC impacts</t>
  </si>
  <si>
    <t>Unique CC value</t>
  </si>
  <si>
    <t>CABI (2019) calibration</t>
  </si>
  <si>
    <t>Boran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</si>
</sst>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"/>
    <numFmt numFmtId="165" formatCode="0.000000000"/>
    <numFmt numFmtId="166" formatCode="0.0000000"/>
    <numFmt numFmtId="167" formatCode="0.000"/>
    <numFmt numFmtId="168" formatCode="0.0000"/>
    <numFmt numFmtId="169" formatCode="0.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167" fontId="0" fillId="4" borderId="0" xfId="0" applyNumberFormat="1" applyFill="1"/>
    <xf numFmtId="167" fontId="0" fillId="3" borderId="0" xfId="0" applyNumberFormat="1" applyFill="1"/>
    <xf numFmtId="0" fontId="1" fillId="4" borderId="0" xfId="0" applyFont="1" applyFill="1" applyAlignment="1">
      <alignment horizontal="center"/>
    </xf>
    <xf numFmtId="167" fontId="0" fillId="4" borderId="0" xfId="0" applyNumberFormat="1" applyFill="1" applyAlignment="1">
      <alignment horizontal="center"/>
    </xf>
    <xf numFmtId="169" fontId="4" fillId="0" borderId="0" xfId="0" applyNumberFormat="1" applyFont="1"/>
    <xf numFmtId="0" fontId="0" fillId="5" borderId="0" xfId="0" applyFill="1"/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167" fontId="0" fillId="0" borderId="0" xfId="0" applyNumberFormat="1" applyAlignment="1">
      <alignment horizontal="center"/>
    </xf>
    <xf numFmtId="2" fontId="0" fillId="0" borderId="0" xfId="0" applyNumberFormat="1"/>
    <xf numFmtId="0" fontId="2" fillId="0" borderId="0" xfId="0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/>
    <xf numFmtId="0" fontId="0" fillId="7" borderId="0" xfId="0" applyFill="1"/>
    <xf numFmtId="0" fontId="0" fillId="8" borderId="0" xfId="0" applyFill="1"/>
    <xf numFmtId="0" fontId="1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theme" Target="theme/theme1.xml"/><Relationship Id="rId8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E-beef-main/Model/Results.summary/trend.lines.xlsx" TargetMode="External"/><Relationship Id="rId2" Type="http://schemas.openxmlformats.org/officeDocument/2006/relationships/externalLinkPath" Target="file:///C:\Users\JHawkins\Documents\Github\KE-beef-main\Model\Results.summary\trend.lines.xlsx" TargetMode="External"/><Relationship Id="rId1" Type="http://schemas.openxmlformats.org/officeDocument/2006/relationships/externalLinkPath" Target="/Users/JHawkins/Documents/Github/KE-beef-main/Model/Results.summary/trend.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Arid_Subsistence.csv" TargetMode="External"/><Relationship Id="rId1" Type="http://schemas.openxmlformats.org/officeDocument/2006/relationships/externalLinkPath" Target="Arid_Subsistence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SArid_Subsistence.csv" TargetMode="External"/><Relationship Id="rId1" Type="http://schemas.openxmlformats.org/officeDocument/2006/relationships/externalLinkPath" Target="SArid_Subsistence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Humid_Subsistence.csv" TargetMode="External"/><Relationship Id="rId1" Type="http://schemas.openxmlformats.org/officeDocument/2006/relationships/externalLinkPath" Target="Humid_Subsistence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Arid_Commercial.csv" TargetMode="External"/><Relationship Id="rId1" Type="http://schemas.openxmlformats.org/officeDocument/2006/relationships/externalLinkPath" Target="Arid_Commercial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SArid_Commercial.csv" TargetMode="External"/><Relationship Id="rId1" Type="http://schemas.openxmlformats.org/officeDocument/2006/relationships/externalLinkPath" Target="SArid_Commercial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Humid_Commercial.csv" TargetMode="External"/><Relationship Id="rId1" Type="http://schemas.openxmlformats.org/officeDocument/2006/relationships/externalLinkPath" Target="Humid_Commercial.csv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iry/Dairy_total_Arid_2020.csv" TargetMode="External"/><Relationship Id="rId2" Type="http://schemas.openxmlformats.org/officeDocument/2006/relationships/externalLinkPath" Target="file:///C:\Users\JHawkins\Documents\Github\KE.beef.spatial\Rasterized%20animal%20populations\Dairy\Dairy_total_Arid_2020.csv" TargetMode="External"/><Relationship Id="rId1" Type="http://schemas.openxmlformats.org/officeDocument/2006/relationships/externalLinkPath" Target="/Users/JHawkins/Documents/Github/KE.beef.spatial/Rasterized%20animal%20populations/Dairy/Dairy_total_Arid_2020.csv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iry/Dairy_total_SArid_2020.csv" TargetMode="External"/><Relationship Id="rId2" Type="http://schemas.openxmlformats.org/officeDocument/2006/relationships/externalLinkPath" Target="file:///C:\Users\JHawkins\Documents\Github\KE.beef.spatial\Rasterized%20animal%20populations\Dairy\Dairy_total_SArid_2020.csv" TargetMode="External"/><Relationship Id="rId1" Type="http://schemas.openxmlformats.org/officeDocument/2006/relationships/externalLinkPath" Target="/Users/JHawkins/Documents/Github/KE.beef.spatial/Rasterized%20animal%20populations/Dairy/Dairy_total_SArid_2020.csv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iry/Dairy_total_Humid_2020.csv" TargetMode="External"/><Relationship Id="rId2" Type="http://schemas.openxmlformats.org/officeDocument/2006/relationships/externalLinkPath" Target="file:///C:\Users\JHawkins\Documents\Github\KE.beef.spatial\Rasterized%20animal%20populations\Dairy\Dairy_total_Humid_2020.csv" TargetMode="External"/><Relationship Id="rId1" Type="http://schemas.openxmlformats.org/officeDocument/2006/relationships/externalLinkPath" Target="/Users/JHawkins/Documents/Github/KE.beef.spatial/Rasterized%20animal%20populations/Dairy/Dairy_total_Humid_2020.csv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heep/Sheep_total_Arid_2020.csv" TargetMode="External"/><Relationship Id="rId2" Type="http://schemas.openxmlformats.org/officeDocument/2006/relationships/externalLinkPath" Target="file:///C:\Users\JHawkins\Documents\Github\KE.beef.spatial\Rasterized%20animal%20populations\Sheep\Sheep_total_Arid_2020.csv" TargetMode="External"/><Relationship Id="rId1" Type="http://schemas.openxmlformats.org/officeDocument/2006/relationships/externalLinkPath" Target="/Users/JHawkins/Documents/Github/KE.beef.spatial/Rasterized%20animal%20populations/Sheep/Sheep_total_Arid_2020.csv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heep/Sheep_total_SArid_2020.csv" TargetMode="External"/><Relationship Id="rId2" Type="http://schemas.openxmlformats.org/officeDocument/2006/relationships/externalLinkPath" Target="file:///C:\Users\JHawkins\Documents\Github\KE.beef.spatial\Rasterized%20animal%20populations\Sheep\Sheep_total_SArid_2020.csv" TargetMode="External"/><Relationship Id="rId1" Type="http://schemas.openxmlformats.org/officeDocument/2006/relationships/externalLinkPath" Target="/Users/JHawkins/Documents/Github/KE.beef.spatial/Rasterized%20animal%20populations/Sheep/Sheep_total_SArid_2020.csv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Sheep/Sheep_total_Humid_2020.csv" TargetMode="External"/><Relationship Id="rId2" Type="http://schemas.openxmlformats.org/officeDocument/2006/relationships/externalLinkPath" Target="file:///C:\Users\JHawkins\Documents\Github\KE.beef.spatial\Rasterized%20animal%20populations\Sheep\Sheep_total_Humid_2020.csv" TargetMode="External"/><Relationship Id="rId1" Type="http://schemas.openxmlformats.org/officeDocument/2006/relationships/externalLinkPath" Target="/Users/JHawkins/Documents/Github/KE.beef.spatial/Rasterized%20animal%20populations/Sheep/Sheep_total_Humid_2020.csv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Pastoral_Zebu_2020.csv" TargetMode="External"/><Relationship Id="rId1" Type="http://schemas.openxmlformats.org/officeDocument/2006/relationships/externalLinkPath" Target="2020/Pastoral_Zebu_2020.csv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Pastoral_Boran_2020.csv" TargetMode="External"/><Relationship Id="rId1" Type="http://schemas.openxmlformats.org/officeDocument/2006/relationships/externalLinkPath" Target="2020/Pastoral_Boran_2020.csv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Pastoral_Zebu_2050.csv" TargetMode="External"/><Relationship Id="rId1" Type="http://schemas.openxmlformats.org/officeDocument/2006/relationships/externalLinkPath" Target="2050/Pastoral_Zebu_2050.csv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Pastoral_Boran_2050.csv" TargetMode="External"/><Relationship Id="rId1" Type="http://schemas.openxmlformats.org/officeDocument/2006/relationships/externalLinkPath" Target="2050/Pastoral_Boran_2050.csv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Agpastoral_Zebu_2020.csv" TargetMode="External"/><Relationship Id="rId1" Type="http://schemas.openxmlformats.org/officeDocument/2006/relationships/externalLinkPath" Target="2020/Agpastoral_Zebu_2020.csv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Agpastoral_Boran_2020.csv" TargetMode="External"/><Relationship Id="rId1" Type="http://schemas.openxmlformats.org/officeDocument/2006/relationships/externalLinkPath" Target="2020/Agpastoral_Boran_2020.csv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Agpastoral_Zebu_2050.csv" TargetMode="External"/><Relationship Id="rId1" Type="http://schemas.openxmlformats.org/officeDocument/2006/relationships/externalLinkPath" Target="2050/Agpastoral_Zebu_2050.csv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Agpastoral_Boran_2050.csv" TargetMode="External"/><Relationship Id="rId1" Type="http://schemas.openxmlformats.org/officeDocument/2006/relationships/externalLinkPath" Target="2050/Agpastoral_Boran_2050.csv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Mixed_Zebu_2020.csv" TargetMode="External"/><Relationship Id="rId1" Type="http://schemas.openxmlformats.org/officeDocument/2006/relationships/externalLinkPath" Target="2020/Mixed_Zebu_2020.csv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Mixed_Boran_2020.csv" TargetMode="External"/><Relationship Id="rId1" Type="http://schemas.openxmlformats.org/officeDocument/2006/relationships/externalLinkPath" Target="2020/Mixed_Boran_2020.csv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Mixed_Zebu_2050.csv" TargetMode="External"/><Relationship Id="rId1" Type="http://schemas.openxmlformats.org/officeDocument/2006/relationships/externalLinkPath" Target="2050/Mixed_Zebu_2050.csv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Mixed_Boran_2050.csv" TargetMode="External"/><Relationship Id="rId1" Type="http://schemas.openxmlformats.org/officeDocument/2006/relationships/externalLinkPath" Target="2050/Mixed_Boran_2050.csv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Cowcalf_Boran_2020.csv" TargetMode="External"/><Relationship Id="rId1" Type="http://schemas.openxmlformats.org/officeDocument/2006/relationships/externalLinkPath" Target="2020/Cowcalf_Boran_2020.csv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Cowcalf_Exotic_2020.csv" TargetMode="External"/><Relationship Id="rId1" Type="http://schemas.openxmlformats.org/officeDocument/2006/relationships/externalLinkPath" Target="2020/Cowcalf_Exotic_2020.csv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Cowcalf_Boran_2050.csv" TargetMode="External"/><Relationship Id="rId1" Type="http://schemas.openxmlformats.org/officeDocument/2006/relationships/externalLinkPath" Target="2050/Cowcalf_Boran_2050.csv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Cowcalf_Exotic_2050.csv" TargetMode="External"/><Relationship Id="rId1" Type="http://schemas.openxmlformats.org/officeDocument/2006/relationships/externalLinkPath" Target="2050/Cowcalf_Exotic_2050.csv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Finisher_Boran_2020.csv" TargetMode="External"/><Relationship Id="rId1" Type="http://schemas.openxmlformats.org/officeDocument/2006/relationships/externalLinkPath" Target="2020/Finisher_Boran_2020.csv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20\Finisher_Exotic_2020.csv" TargetMode="External"/><Relationship Id="rId1" Type="http://schemas.openxmlformats.org/officeDocument/2006/relationships/externalLinkPath" Target="2020/Finisher_Exotic_2020.csv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Finisher_Boran_2050.csv" TargetMode="External"/><Relationship Id="rId1" Type="http://schemas.openxmlformats.org/officeDocument/2006/relationships/externalLinkPath" Target="2050/Finisher_Boran_2050.csv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2050\Finisher_Exotic_2050.csv" TargetMode="External"/><Relationship Id="rId1" Type="http://schemas.openxmlformats.org/officeDocument/2006/relationships/externalLinkPath" Target="2050/Finisher_Exotic_2050.csv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Grassland_Arid.csv" TargetMode="External"/><Relationship Id="rId2" Type="http://schemas.openxmlformats.org/officeDocument/2006/relationships/externalLinkPath" Target="file:///C:\Users\JHawkins\Documents\Github\KE.beef.spatial\ZS_Grassland_Arid.csv" TargetMode="External"/><Relationship Id="rId1" Type="http://schemas.openxmlformats.org/officeDocument/2006/relationships/externalLinkPath" Target="/Users/JHawkins/Documents/Github/KE.beef.spatial/ZS_Grassland_Arid.csv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Grassland_SArid.csv" TargetMode="External"/><Relationship Id="rId2" Type="http://schemas.openxmlformats.org/officeDocument/2006/relationships/externalLinkPath" Target="file:///C:\Users\JHawkins\Documents\Github\KE.beef.spatial\ZS_Grassland_SArid.csv" TargetMode="External"/><Relationship Id="rId1" Type="http://schemas.openxmlformats.org/officeDocument/2006/relationships/externalLinkPath" Target="/Users/JHawkins/Documents/Github/KE.beef.spatial/ZS_Grassland_SArid.csv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Grassland_Humid.csv" TargetMode="External"/><Relationship Id="rId2" Type="http://schemas.openxmlformats.org/officeDocument/2006/relationships/externalLinkPath" Target="file:///C:\Users\JHawkins\Documents\Github\KE.beef.spatial\ZS_Grassland_Humid.csv" TargetMode="External"/><Relationship Id="rId1" Type="http://schemas.openxmlformats.org/officeDocument/2006/relationships/externalLinkPath" Target="/Users/JHawkins/Documents/Github/KE.beef.spatial/ZS_Grassland_Humid.csv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Cropland_Arid.csv" TargetMode="External"/><Relationship Id="rId2" Type="http://schemas.openxmlformats.org/officeDocument/2006/relationships/externalLinkPath" Target="file:///C:\Users\JHawkins\Documents\Github\KE.beef.spatial\ZS_Cropland_Arid.csv" TargetMode="External"/><Relationship Id="rId1" Type="http://schemas.openxmlformats.org/officeDocument/2006/relationships/externalLinkPath" Target="/Users/JHawkins/Documents/Github/KE.beef.spatial/ZS_Cropland_Arid.csv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Cropland_SArid.csv" TargetMode="External"/><Relationship Id="rId2" Type="http://schemas.openxmlformats.org/officeDocument/2006/relationships/externalLinkPath" Target="file:///C:\Users\JHawkins\Documents\Github\KE.beef.spatial\ZS_Cropland_SArid.csv" TargetMode="External"/><Relationship Id="rId1" Type="http://schemas.openxmlformats.org/officeDocument/2006/relationships/externalLinkPath" Target="/Users/JHawkins/Documents/Github/KE.beef.spatial/ZS_Cropland_SArid.csv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Cropland_Humid.csv" TargetMode="External"/><Relationship Id="rId2" Type="http://schemas.openxmlformats.org/officeDocument/2006/relationships/externalLinkPath" Target="file:///C:\Users\JHawkins\Documents\Github\KE.beef.spatial\ZS_Cropland_Humid.csv" TargetMode="External"/><Relationship Id="rId1" Type="http://schemas.openxmlformats.org/officeDocument/2006/relationships/externalLinkPath" Target="/Users/JHawkins/Documents/Github/KE.beef.spatial/ZS_Cropland_Humid.csv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Shrubland_Arid.csv" TargetMode="External"/><Relationship Id="rId2" Type="http://schemas.openxmlformats.org/officeDocument/2006/relationships/externalLinkPath" Target="file:///C:\Users\JHawkins\Documents\Github\KE.beef.spatial\ZS_Shrubland_Arid.csv" TargetMode="External"/><Relationship Id="rId1" Type="http://schemas.openxmlformats.org/officeDocument/2006/relationships/externalLinkPath" Target="/Users/JHawkins/Documents/Github/KE.beef.spatial/ZS_Shrubland_Arid.csv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Shrubland_SArid.csv" TargetMode="External"/><Relationship Id="rId2" Type="http://schemas.openxmlformats.org/officeDocument/2006/relationships/externalLinkPath" Target="file:///C:\Users\JHawkins\Documents\Github\KE.beef.spatial\ZS_Shrubland_SArid.csv" TargetMode="External"/><Relationship Id="rId1" Type="http://schemas.openxmlformats.org/officeDocument/2006/relationships/externalLinkPath" Target="/Users/JHawkins/Documents/Github/KE.beef.spatial/ZS_Shrubland_SArid.csv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ZS_Shrubland_Humid.csv" TargetMode="External"/><Relationship Id="rId2" Type="http://schemas.openxmlformats.org/officeDocument/2006/relationships/externalLinkPath" Target="file:///C:\Users\JHawkins\Documents\Github\KE.beef.spatial\ZS_Shrubland_Humid.csv" TargetMode="External"/><Relationship Id="rId1" Type="http://schemas.openxmlformats.org/officeDocument/2006/relationships/externalLinkPath" Target="/Users/JHawkins/Documents/Github/KE.beef.spatial/ZS_Shrubland_Humid.csv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GRASS_Arid.csv" TargetMode="External"/><Relationship Id="rId2" Type="http://schemas.openxmlformats.org/officeDocument/2006/relationships/externalLinkPath" Target="file:///C:\Users\JHawkins\Documents\Github\KE.beef.spatial\MODIS%20NPP%20-%20Summary\Land%20use%20specific%20NPP\NPP_2020_GRASS_Arid.csv" TargetMode="External"/><Relationship Id="rId1" Type="http://schemas.openxmlformats.org/officeDocument/2006/relationships/externalLinkPath" Target="/Users/JHawkins/Documents/Github/KE.beef.spatial/MODIS%20NPP%20-%20Summary/Land%20use%20specific%20NPP/NPP_2020_GRASS_Arid.csv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GRASS_SArid.csv" TargetMode="External"/><Relationship Id="rId2" Type="http://schemas.openxmlformats.org/officeDocument/2006/relationships/externalLinkPath" Target="file:///C:\Users\JHawkins\Documents\Github\KE.beef.spatial\MODIS%20NPP%20-%20Summary\Land%20use%20specific%20NPP\NPP_2020_GRASS_SArid.csv" TargetMode="External"/><Relationship Id="rId1" Type="http://schemas.openxmlformats.org/officeDocument/2006/relationships/externalLinkPath" Target="/Users/JHawkins/Documents/Github/KE.beef.spatial/MODIS%20NPP%20-%20Summary/Land%20use%20specific%20NPP/NPP_2020_GRASS_SArid.csv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GRASS_Humid.xlsx" TargetMode="External"/><Relationship Id="rId2" Type="http://schemas.openxmlformats.org/officeDocument/2006/relationships/externalLinkPath" Target="file:///C:\Users\JHawkins\Documents\Github\KE.beef.spatial\MODIS%20NPP%20-%20Summary\Land%20use%20specific%20NPP\NPP_2020_GRASS_Humid.xlsx" TargetMode="External"/><Relationship Id="rId1" Type="http://schemas.openxmlformats.org/officeDocument/2006/relationships/externalLinkPath" Target="/Users/JHawkins/Documents/Github/KE.beef.spatial/MODIS%20NPP%20-%20Summary/Land%20use%20specific%20NPP/NPP_2020_GRASS_Humid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CROP_Arid.csv" TargetMode="External"/><Relationship Id="rId2" Type="http://schemas.openxmlformats.org/officeDocument/2006/relationships/externalLinkPath" Target="file:///C:\Users\JHawkins\Documents\Github\KE.beef.spatial\MODIS%20NPP%20-%20Summary\Land%20use%20specific%20NPP\NPP_2020_CROP_Arid.csv" TargetMode="External"/><Relationship Id="rId1" Type="http://schemas.openxmlformats.org/officeDocument/2006/relationships/externalLinkPath" Target="/Users/JHawkins/Documents/Github/KE.beef.spatial/MODIS%20NPP%20-%20Summary/Land%20use%20specific%20NPP/NPP_2020_CROP_Arid.csv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CROP_SArid.csv" TargetMode="External"/><Relationship Id="rId2" Type="http://schemas.openxmlformats.org/officeDocument/2006/relationships/externalLinkPath" Target="file:///C:\Users\JHawkins\Documents\Github\KE.beef.spatial\MODIS%20NPP%20-%20Summary\Land%20use%20specific%20NPP\NPP_2020_CROP_SArid.csv" TargetMode="External"/><Relationship Id="rId1" Type="http://schemas.openxmlformats.org/officeDocument/2006/relationships/externalLinkPath" Target="/Users/JHawkins/Documents/Github/KE.beef.spatial/MODIS%20NPP%20-%20Summary/Land%20use%20specific%20NPP/NPP_2020_CROP_SArid.csv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CROP_Humid.xlsx" TargetMode="External"/><Relationship Id="rId2" Type="http://schemas.openxmlformats.org/officeDocument/2006/relationships/externalLinkPath" Target="file:///C:\Users\JHawkins\Documents\Github\KE.beef.spatial\MODIS%20NPP%20-%20Summary\Land%20use%20specific%20NPP\NPP_2020_CROP_Humid.xlsx" TargetMode="External"/><Relationship Id="rId1" Type="http://schemas.openxmlformats.org/officeDocument/2006/relationships/externalLinkPath" Target="/Users/JHawkins/Documents/Github/KE.beef.spatial/MODIS%20NPP%20-%20Summary/Land%20use%20specific%20NPP/NPP_2020_CROP_Humid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SHRUB_Arid.csv" TargetMode="External"/><Relationship Id="rId2" Type="http://schemas.openxmlformats.org/officeDocument/2006/relationships/externalLinkPath" Target="file:///C:\Users\JHawkins\Documents\Github\KE.beef.spatial\MODIS%20NPP%20-%20Summary\Land%20use%20specific%20NPP\NPP_2020_SHRUB_Arid.csv" TargetMode="External"/><Relationship Id="rId1" Type="http://schemas.openxmlformats.org/officeDocument/2006/relationships/externalLinkPath" Target="/Users/JHawkins/Documents/Github/KE.beef.spatial/MODIS%20NPP%20-%20Summary/Land%20use%20specific%20NPP/NPP_2020_SHRUB_Arid.csv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SHRUB_SArid.csv" TargetMode="External"/><Relationship Id="rId2" Type="http://schemas.openxmlformats.org/officeDocument/2006/relationships/externalLinkPath" Target="file:///C:\Users\JHawkins\Documents\Github\KE.beef.spatial\MODIS%20NPP%20-%20Summary\Land%20use%20specific%20NPP\NPP_2020_SHRUB_SArid.csv" TargetMode="External"/><Relationship Id="rId1" Type="http://schemas.openxmlformats.org/officeDocument/2006/relationships/externalLinkPath" Target="/Users/JHawkins/Documents/Github/KE.beef.spatial/MODIS%20NPP%20-%20Summary/Land%20use%20specific%20NPP/NPP_2020_SHRUB_SArid.csv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NPP_2020_SHRUB_Humid.csv" TargetMode="External"/><Relationship Id="rId2" Type="http://schemas.openxmlformats.org/officeDocument/2006/relationships/externalLinkPath" Target="file:///C:\Users\JHawkins\Documents\Github\KE.beef.spatial\MODIS%20NPP%20-%20Summary\Land%20use%20specific%20NPP\NPP_2020_SHRUB_Humid.csv" TargetMode="External"/><Relationship Id="rId1" Type="http://schemas.openxmlformats.org/officeDocument/2006/relationships/externalLinkPath" Target="/Users/JHawkins/Documents/Github/KE.beef.spatial/MODIS%20NPP%20-%20Summary/Land%20use%20specific%20NPP/NPP_2020_SHRUB_Humid.csv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GRASS_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GRASS_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GRASS_Arid.csv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GRASS_S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GRASS_S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GRASS_SArid.csv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GRASS_Humid.xlsx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GRASS_Humid.xlsx" TargetMode="External"/><Relationship Id="rId1" Type="http://schemas.openxmlformats.org/officeDocument/2006/relationships/externalLinkPath" Target="/Users/JHawkins/Documents/Github/KE.beef.spatial/MODIS%20NPP%20-%20Summary/Land%20use%20specific%20NPP/2050/R4/NPP_2050_R4_GRASS_Humid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CROP_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CROP_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CROP_Arid.csv" TargetMode="External"/></Relationships>
</file>

<file path=xl/externalLinks/_rels/externalLink5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CROP_S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CROP_S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CROP_SArid.csv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CROP_Humid.xlsx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CROP_Humid.xlsx" TargetMode="External"/><Relationship Id="rId1" Type="http://schemas.openxmlformats.org/officeDocument/2006/relationships/externalLinkPath" Target="/Users/JHawkins/Documents/Github/KE.beef.spatial/MODIS%20NPP%20-%20Summary/Land%20use%20specific%20NPP/2050/R4/NPP_2050_R4_CROP_Humid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SHRUB_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SHRUB_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SHRUB_Arid.csv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SHRUB_SArid.csv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SHRUB_SArid.csv" TargetMode="External"/><Relationship Id="rId1" Type="http://schemas.openxmlformats.org/officeDocument/2006/relationships/externalLinkPath" Target="/Users/JHawkins/Documents/Github/KE.beef.spatial/MODIS%20NPP%20-%20Summary/Land%20use%20specific%20NPP/2050/R4/NPP_2050_R4_SHRUB_SArid.csv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4/NPP_2050_R4_SHRUB_Humid.xlsx" TargetMode="External"/><Relationship Id="rId2" Type="http://schemas.openxmlformats.org/officeDocument/2006/relationships/externalLinkPath" Target="file:///C:\Users\JHawkins\Documents\Github\KE.beef.spatial\MODIS%20NPP%20-%20Summary\Land%20use%20specific%20NPP\2050\R4\NPP_2050_R4_SHRUB_Humid.xlsx" TargetMode="External"/><Relationship Id="rId1" Type="http://schemas.openxmlformats.org/officeDocument/2006/relationships/externalLinkPath" Target="/Users/JHawkins/Documents/Github/KE.beef.spatial/MODIS%20NPP%20-%20Summary/Land%20use%20specific%20NPP/2050/R4/NPP_2050_R4_SHRUB_Humid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GRASS_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GRASS_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GRASS_Arid.csv" TargetMode="External"/></Relationships>
</file>

<file path=xl/externalLinks/_rels/externalLink6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GRASS_S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GRASS_S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GRASS_SArid.csv" TargetMode="External"/></Relationships>
</file>

<file path=xl/externalLinks/_rels/externalLink6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GRASS_Humid.xlsx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GRASS_Humid.xlsx" TargetMode="External"/><Relationship Id="rId1" Type="http://schemas.openxmlformats.org/officeDocument/2006/relationships/externalLinkPath" Target="/Users/JHawkins/Documents/Github/KE.beef.spatial/MODIS%20NPP%20-%20Summary/Land%20use%20specific%20NPP/2050/R8/NPP_2050_R8_GRASS_Humid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CROP_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CROP_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CROP_Arid.csv" TargetMode="External"/></Relationships>
</file>

<file path=xl/externalLinks/_rels/externalLink6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CROP_S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CROP_S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CROP_SArid.csv" TargetMode="External"/></Relationships>
</file>

<file path=xl/externalLinks/_rels/externalLink6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CROP_Humid.xlsx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CROP_Humid.xlsx" TargetMode="External"/><Relationship Id="rId1" Type="http://schemas.openxmlformats.org/officeDocument/2006/relationships/externalLinkPath" Target="/Users/JHawkins/Documents/Github/KE.beef.spatial/MODIS%20NPP%20-%20Summary/Land%20use%20specific%20NPP/2050/R8/NPP_2050_R8_CROP_Humid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SHRUB_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SHRUB_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SHRUB_Arid.csv" TargetMode="External"/></Relationships>
</file>

<file path=xl/externalLinks/_rels/externalLink6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SHRUB_SArid.csv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SHRUB_SArid.csv" TargetMode="External"/><Relationship Id="rId1" Type="http://schemas.openxmlformats.org/officeDocument/2006/relationships/externalLinkPath" Target="/Users/JHawkins/Documents/Github/KE.beef.spatial/MODIS%20NPP%20-%20Summary/Land%20use%20specific%20NPP/2050/R8/NPP_2050_R8_SHRUB_SArid.csv" TargetMode="External"/></Relationships>
</file>

<file path=xl/externalLinks/_rels/externalLink6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DIS%20NPP%20-%20Summary/Land%20use%20specific%20NPP/2050/R8/NPP_2050_R8_SHRUB_Humid.xlsx" TargetMode="External"/><Relationship Id="rId2" Type="http://schemas.openxmlformats.org/officeDocument/2006/relationships/externalLinkPath" Target="file:///C:\Users\JHawkins\Documents\Github\KE.beef.spatial\MODIS%20NPP%20-%20Summary\Land%20use%20specific%20NPP\2050\R8\NPP_2050_R8_SHRUB_Humid.xlsx" TargetMode="External"/><Relationship Id="rId1" Type="http://schemas.openxmlformats.org/officeDocument/2006/relationships/externalLinkPath" Target="/Users/JHawkins/Documents/Github/KE.beef.spatial/MODIS%20NPP%20-%20Summary/Land%20use%20specific%20NPP/2050/R8/NPP_2050_R8_SHRUB_Humid.xlsx" TargetMode="External"/></Relationships>
</file>

<file path=xl/externalLinks/_rels/externalLink7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aster.logic.xlsx" TargetMode="External"/><Relationship Id="rId2" Type="http://schemas.openxmlformats.org/officeDocument/2006/relationships/externalLinkPath" Target="file:///C:\Users\JHawkins\Documents\Github\KE.beef.spatial\Raster.logic.xlsx" TargetMode="External"/><Relationship Id="rId1" Type="http://schemas.openxmlformats.org/officeDocument/2006/relationships/externalLinkPath" Target="/Users/JHawkins/Documents/Github/KE.beef.spatial/Raster.log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_implemented"/>
      <sheetName val="FAO_2019_animal_trends"/>
    </sheetNames>
    <sheetDataSet>
      <sheetData sheetId="0"/>
      <sheetData sheetId="1">
        <row r="35">
          <cell r="F35">
            <v>0.53615960099750615</v>
          </cell>
          <cell r="G35">
            <v>0.38312009613345605</v>
          </cell>
        </row>
        <row r="36">
          <cell r="F36">
            <v>0.36159600997506236</v>
          </cell>
          <cell r="G36">
            <v>2.7950424483806726</v>
          </cell>
        </row>
        <row r="37">
          <cell r="F37">
            <v>2.4937655860349127E-3</v>
          </cell>
          <cell r="G37">
            <v>86.466565349544069</v>
          </cell>
        </row>
        <row r="38">
          <cell r="F38">
            <v>4.9875311720698257E-2</v>
          </cell>
          <cell r="G38">
            <v>1.0372340425531916</v>
          </cell>
        </row>
        <row r="39">
          <cell r="F39">
            <v>4.9875311720698257E-2</v>
          </cell>
          <cell r="G39">
            <v>7.6101823708206684</v>
          </cell>
        </row>
        <row r="40">
          <cell r="G40">
            <v>1.354588821344141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id_Subsistence"/>
    </sheetNames>
    <sheetDataSet>
      <sheetData sheetId="0" refreshError="1">
        <row r="2">
          <cell r="C2">
            <v>220785.65217611199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rid_Subsistence"/>
    </sheetNames>
    <sheetDataSet>
      <sheetData sheetId="0" refreshError="1">
        <row r="2">
          <cell r="C2">
            <v>467695.362210333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mid_Subsistence"/>
    </sheetNames>
    <sheetDataSet>
      <sheetData sheetId="0" refreshError="1">
        <row r="2">
          <cell r="D2">
            <v>589697.33266333945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id_Commercial"/>
    </sheetNames>
    <sheetDataSet>
      <sheetData sheetId="0" refreshError="1">
        <row r="2">
          <cell r="C2">
            <v>4580694.9930214901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rid_Commercial"/>
    </sheetNames>
    <sheetDataSet>
      <sheetData sheetId="0" refreshError="1">
        <row r="2">
          <cell r="C2">
            <v>5931614.2707009297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mid_Commercial"/>
    </sheetNames>
    <sheetDataSet>
      <sheetData sheetId="0" refreshError="1">
        <row r="2">
          <cell r="D2">
            <v>4968107.5438200859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iry_total_Arid_2020"/>
    </sheetNames>
    <sheetDataSet>
      <sheetData sheetId="0" refreshError="1">
        <row r="2">
          <cell r="C2">
            <v>24812.591756207301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iry_total_SArid_2020"/>
    </sheetNames>
    <sheetDataSet>
      <sheetData sheetId="0" refreshError="1">
        <row r="2">
          <cell r="C2">
            <v>1210306.62197518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iry_total_Humid_2020"/>
    </sheetNames>
    <sheetDataSet>
      <sheetData sheetId="0" refreshError="1">
        <row r="2">
          <cell r="D2">
            <v>5233916.3978957208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p_total_Arid_2020"/>
    </sheetNames>
    <sheetDataSet>
      <sheetData sheetId="0" refreshError="1">
        <row r="2">
          <cell r="C2">
            <v>1300620.48691654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p_total_SArid_2020"/>
    </sheetNames>
    <sheetDataSet>
      <sheetData sheetId="0" refreshError="1">
        <row r="2">
          <cell r="C2">
            <v>1063972.5190212701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p_total_Humid_2020"/>
    </sheetNames>
    <sheetDataSet>
      <sheetData sheetId="0" refreshError="1">
        <row r="2">
          <cell r="D2">
            <v>1001433.3524225579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oral_Zebu_2020"/>
    </sheetNames>
    <sheetDataSet>
      <sheetData sheetId="0">
        <row r="2">
          <cell r="K2">
            <v>7912803.5780913802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oral_Boran_2020"/>
    </sheetNames>
    <sheetDataSet>
      <sheetData sheetId="0" refreshError="1">
        <row r="2">
          <cell r="K2">
            <v>1124203.7226895699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oral_Zebu_2050"/>
    </sheetNames>
    <sheetDataSet>
      <sheetData sheetId="0">
        <row r="2">
          <cell r="K2">
            <v>8554757.4814370908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toral_Boran_2050"/>
    </sheetNames>
    <sheetDataSet>
      <sheetData sheetId="0">
        <row r="2">
          <cell r="K2">
            <v>1215408.67359516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pastoral_Zebu_2020"/>
    </sheetNames>
    <sheetDataSet>
      <sheetData sheetId="0">
        <row r="2">
          <cell r="K2">
            <v>3685141.0110471202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pastoral_Boran_2020"/>
    </sheetNames>
    <sheetDataSet>
      <sheetData sheetId="0">
        <row r="2">
          <cell r="K2">
            <v>277376.20390618598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pastoral_Zebu_2050"/>
    </sheetNames>
    <sheetDataSet>
      <sheetData sheetId="0">
        <row r="2">
          <cell r="K2">
            <v>6488770.1197828101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pastoral_Boran_2050"/>
    </sheetNames>
    <sheetDataSet>
      <sheetData sheetId="0">
        <row r="2">
          <cell r="K2">
            <v>488402.05019366002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xed_Zebu_2020"/>
    </sheetNames>
    <sheetDataSet>
      <sheetData sheetId="0">
        <row r="2">
          <cell r="K2">
            <v>298374.71550379699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xed_Boran_2020"/>
    </sheetNames>
    <sheetDataSet>
      <sheetData sheetId="0">
        <row r="2">
          <cell r="K2">
            <v>25945.627401560501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xed_Zebu_2050"/>
    </sheetNames>
    <sheetDataSet>
      <sheetData sheetId="0">
        <row r="2">
          <cell r="K2">
            <v>404262.59496554697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xed_Boran_2050"/>
    </sheetNames>
    <sheetDataSet>
      <sheetData sheetId="0">
        <row r="2">
          <cell r="K2">
            <v>35153.269665965803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wcalf_Boran_2020"/>
    </sheetNames>
    <sheetDataSet>
      <sheetData sheetId="0">
        <row r="2">
          <cell r="K2">
            <v>1184753.34766715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wcalf_Exotic_2020"/>
    </sheetNames>
    <sheetDataSet>
      <sheetData sheetId="0">
        <row r="2">
          <cell r="K2">
            <v>985977.36353097099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wcalf_Boran_2050"/>
    </sheetNames>
    <sheetDataSet>
      <sheetData sheetId="0">
        <row r="2">
          <cell r="K2">
            <v>1806208.69891036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wcalf_Exotic_2050"/>
    </sheetNames>
    <sheetDataSet>
      <sheetData sheetId="0">
        <row r="2">
          <cell r="K2">
            <v>1503165.94333724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isher_Boran_2020"/>
    </sheetNames>
    <sheetDataSet>
      <sheetData sheetId="0">
        <row r="2">
          <cell r="K2">
            <v>26321.876059999999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isher_Exotic_2020"/>
    </sheetNames>
    <sheetDataSet>
      <sheetData sheetId="0">
        <row r="2">
          <cell r="K2">
            <v>12386.7653238613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isher_Boran_2050"/>
    </sheetNames>
    <sheetDataSet>
      <sheetData sheetId="0">
        <row r="2">
          <cell r="K2">
            <v>918345.45531155204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isher_Exotic_2050"/>
    </sheetNames>
    <sheetDataSet>
      <sheetData sheetId="0">
        <row r="2">
          <cell r="K2">
            <v>432162.57168335503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Grassland_Arid"/>
    </sheetNames>
    <sheetDataSet>
      <sheetData sheetId="0" refreshError="1">
        <row r="2">
          <cell r="D2">
            <v>202419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Grassland_SArid"/>
    </sheetNames>
    <sheetDataSet>
      <sheetData sheetId="0">
        <row r="2">
          <cell r="D2">
            <v>129806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Grassland_Humid"/>
    </sheetNames>
    <sheetDataSet>
      <sheetData sheetId="0">
        <row r="2">
          <cell r="E2">
            <v>64439.636684333513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Cropland_Arid"/>
    </sheetNames>
    <sheetDataSet>
      <sheetData sheetId="0">
        <row r="2">
          <cell r="D2">
            <v>524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Cropland_SArid"/>
    </sheetNames>
    <sheetDataSet>
      <sheetData sheetId="0">
        <row r="2">
          <cell r="D2">
            <v>19552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Cropland_Humid"/>
    </sheetNames>
    <sheetDataSet>
      <sheetData sheetId="0">
        <row r="2">
          <cell r="E2">
            <v>27078.877240262751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Shrubland_Arid"/>
    </sheetNames>
    <sheetDataSet>
      <sheetData sheetId="0">
        <row r="2">
          <cell r="D2">
            <v>277889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Shrubland_SArid"/>
    </sheetNames>
    <sheetDataSet>
      <sheetData sheetId="0">
        <row r="2">
          <cell r="D2">
            <v>357491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ZS_Shrubland_Humid"/>
    </sheetNames>
    <sheetDataSet>
      <sheetData sheetId="0">
        <row r="2">
          <cell r="E2">
            <v>63327.68656939434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GRASS_Arid"/>
    </sheetNames>
    <sheetDataSet>
      <sheetData sheetId="0">
        <row r="2">
          <cell r="E2">
            <v>0.33293323112310402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GRASS_SArid"/>
    </sheetNames>
    <sheetDataSet>
      <sheetData sheetId="0">
        <row r="2">
          <cell r="E2">
            <v>0.48080803465972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GRASS_Humid"/>
      <sheetName val="filtered"/>
    </sheetNames>
    <sheetDataSet>
      <sheetData sheetId="0" refreshError="1"/>
      <sheetData sheetId="1">
        <row r="2">
          <cell r="F2">
            <v>0.88607168377191448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CROP_Arid"/>
    </sheetNames>
    <sheetDataSet>
      <sheetData sheetId="0">
        <row r="2">
          <cell r="E2">
            <v>0.97599038751874501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CROP_SArid"/>
    </sheetNames>
    <sheetDataSet>
      <sheetData sheetId="0">
        <row r="2">
          <cell r="E2">
            <v>0.71416468993051396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CROP_Humid"/>
      <sheetName val="filtered"/>
    </sheetNames>
    <sheetDataSet>
      <sheetData sheetId="0"/>
      <sheetData sheetId="1">
        <row r="2">
          <cell r="F2">
            <v>1.0193612610195171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SHRUB_Arid"/>
    </sheetNames>
    <sheetDataSet>
      <sheetData sheetId="0">
        <row r="2">
          <cell r="E2">
            <v>0.20100553202445001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SHRUB_SArid"/>
    </sheetNames>
    <sheetDataSet>
      <sheetData sheetId="0">
        <row r="2">
          <cell r="E2">
            <v>0.48842843619779902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20_SHRUB_Humid"/>
      <sheetName val="filtered"/>
    </sheetNames>
    <sheetDataSet>
      <sheetData sheetId="0" refreshError="1"/>
      <sheetData sheetId="1">
        <row r="2">
          <cell r="F2">
            <v>0.9284507277249876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GRASS_Arid"/>
    </sheetNames>
    <sheetDataSet>
      <sheetData sheetId="0">
        <row r="2">
          <cell r="E2">
            <v>0.36084903504638699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GRASS_SArid"/>
    </sheetNames>
    <sheetDataSet>
      <sheetData sheetId="0">
        <row r="2">
          <cell r="E2">
            <v>0.51075241024303597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GRASS_Humid"/>
      <sheetName val="filtered"/>
    </sheetNames>
    <sheetDataSet>
      <sheetData sheetId="0" refreshError="1"/>
      <sheetData sheetId="1">
        <row r="2">
          <cell r="F2">
            <v>0.90483097904137921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CROP_Arid"/>
    </sheetNames>
    <sheetDataSet>
      <sheetData sheetId="0">
        <row r="2">
          <cell r="E2">
            <v>1.0384816436740301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CROP_SArid"/>
    </sheetNames>
    <sheetDataSet>
      <sheetData sheetId="0">
        <row r="2">
          <cell r="E2">
            <v>0.72447113600000002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CROP_Humid"/>
      <sheetName val="filtered"/>
    </sheetNames>
    <sheetDataSet>
      <sheetData sheetId="0" refreshError="1"/>
      <sheetData sheetId="1">
        <row r="2">
          <cell r="F2">
            <v>0.98649141647533578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SHRUB_Arid"/>
    </sheetNames>
    <sheetDataSet>
      <sheetData sheetId="0">
        <row r="2">
          <cell r="E2">
            <v>0.21776707800273001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SHRUB_SArid"/>
    </sheetNames>
    <sheetDataSet>
      <sheetData sheetId="0">
        <row r="2">
          <cell r="E2">
            <v>0.51075241024303597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4_SHRUB_Humid"/>
      <sheetName val="filtered"/>
    </sheetNames>
    <sheetDataSet>
      <sheetData sheetId="0" refreshError="1"/>
      <sheetData sheetId="1">
        <row r="2">
          <cell r="F2">
            <v>0.90483097904137921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GRASS_Arid"/>
    </sheetNames>
    <sheetDataSet>
      <sheetData sheetId="0">
        <row r="2">
          <cell r="E2">
            <v>0.38422689204237098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GRASS_SArid"/>
    </sheetNames>
    <sheetDataSet>
      <sheetData sheetId="0">
        <row r="2">
          <cell r="E2">
            <v>0.51337712420869996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GRASS_Humid"/>
      <sheetName val="filtered"/>
    </sheetNames>
    <sheetDataSet>
      <sheetData sheetId="0"/>
      <sheetData sheetId="1">
        <row r="2">
          <cell r="F2">
            <v>0.88457459938562355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CROP_Arid"/>
    </sheetNames>
    <sheetDataSet>
      <sheetData sheetId="0">
        <row r="2">
          <cell r="E2">
            <v>1.10532849796393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CROP_SArid"/>
    </sheetNames>
    <sheetDataSet>
      <sheetData sheetId="0">
        <row r="2">
          <cell r="E2">
            <v>0.80695680840268103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CROP_Humid"/>
      <sheetName val="filtered"/>
    </sheetNames>
    <sheetDataSet>
      <sheetData sheetId="0"/>
      <sheetData sheetId="1">
        <row r="2">
          <cell r="F2">
            <v>1.0242825546815273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SHRUB_Arid"/>
    </sheetNames>
    <sheetDataSet>
      <sheetData sheetId="0">
        <row r="2">
          <cell r="E2">
            <v>0.231319877140652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SHRUB_SArid"/>
    </sheetNames>
    <sheetDataSet>
      <sheetData sheetId="0">
        <row r="2">
          <cell r="E2">
            <v>0.51046846997934603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P_2050_R8_SHRUB_Humid"/>
      <sheetName val="filtered"/>
    </sheetNames>
    <sheetDataSet>
      <sheetData sheetId="0"/>
      <sheetData sheetId="1">
        <row r="2">
          <cell r="F2">
            <v>0.93416975929597834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ster_logic"/>
    </sheetNames>
    <sheetDataSet>
      <sheetData sheetId="0">
        <row r="89">
          <cell r="I89">
            <v>0.5</v>
          </cell>
        </row>
        <row r="90">
          <cell r="I90">
            <v>0.44</v>
          </cell>
        </row>
        <row r="91">
          <cell r="I91">
            <v>0.40150000000000002</v>
          </cell>
        </row>
        <row r="95">
          <cell r="I95">
            <v>0.34</v>
          </cell>
        </row>
        <row r="96">
          <cell r="I96">
            <v>0.4</v>
          </cell>
        </row>
        <row r="98">
          <cell r="I98">
            <v>0.4</v>
          </cell>
        </row>
        <row r="99">
          <cell r="I99">
            <v>0.5</v>
          </cell>
        </row>
        <row r="100">
          <cell r="I100">
            <v>0.7</v>
          </cell>
        </row>
        <row r="102">
          <cell r="I102">
            <v>0.4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mes Hawkins" id="{94C87838-5F63-4687-96E8-E5DFC56D834F}" userId="bb158497c03b684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1" dT="2026-06-15T04:34:52.86" personId="{94C87838-5F63-4687-96E8-E5DFC56D834F}" id="{0B974C83-E393-4D24-9238-9ECDE1F8DB25}">
    <text>https://gemini.google.com/app/cb2f8387004cee95
Total boran should be 1 to 1.5 M</text>
    <extLst>
      <x:ext xmlns:xltc2="http://schemas.microsoft.com/office/spreadsheetml/2020/threadedcomments2" uri="{F7C98A9C-CBB3-438F-8F68-D28B6AF4A901}">
        <xltc2:checksum>914658385</xltc2:checksum>
        <xltc2:hyperlink startIndex="0" length="46" url="https://gemini.google.com/app/cb2f8387004cee95"/>
      </x:ext>
    </extLs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8038-24E0-4487-8E9E-ADD8D4CE8257}">
  <dimension ref="A1:H8"/>
  <sheetViews>
    <sheetView workbookViewId="0">
      <selection activeCell="B2" sqref="B2"/>
    </sheetView>
  </sheetViews>
  <sheetFormatPr defaultRowHeight="15" x14ac:dyDescent="0.25"/>
  <sheetData>
    <row r="1" spans="1:8" x14ac:dyDescent="0.25">
      <c r="B1" t="s">
        <v>3</v>
      </c>
      <c r="C1" s="6" t="s">
        <v>43</v>
      </c>
      <c r="D1" t="s">
        <v>50</v>
      </c>
      <c r="E1" t="s">
        <v>52</v>
      </c>
      <c r="F1" s="6" t="s">
        <v>53</v>
      </c>
      <c r="G1" t="s">
        <v>51</v>
      </c>
      <c r="H1" t="s">
        <v>44</v>
      </c>
    </row>
    <row r="2" spans="1:8" x14ac:dyDescent="0.25">
      <c r="A2" t="s">
        <v>13</v>
      </c>
      <c r="B2">
        <f>Herd_decision_tree!E10</f>
        <v>8.5301909532751541</v>
      </c>
      <c r="C2" s="6">
        <f>B2/$B$8</f>
        <v>0.51509165724121786</v>
      </c>
      <c r="D2">
        <f>[1]FAO_2019_animal_trends!$F$35</f>
        <v>0.53615960099750615</v>
      </c>
      <c r="E2">
        <f>D2/D$8</f>
        <v>0.53615960099750626</v>
      </c>
      <c r="F2" s="6">
        <f>E2-5*G2*E2*0.96/100</f>
        <v>0.52629975213940838</v>
      </c>
      <c r="G2">
        <f>[1]FAO_2019_animal_trends!$G$35</f>
        <v>0.38312009613345605</v>
      </c>
      <c r="H2">
        <f>ABS(F2-C2)</f>
        <v>1.1208094898190524E-2</v>
      </c>
    </row>
    <row r="3" spans="1:8" x14ac:dyDescent="0.25">
      <c r="A3" t="s">
        <v>16</v>
      </c>
      <c r="B3">
        <f>Herd_decision_tree!E14</f>
        <v>5.5211886868147317</v>
      </c>
      <c r="C3" s="6">
        <f t="shared" ref="C3:C6" si="0">B3/$B$8</f>
        <v>0.33339443937546853</v>
      </c>
      <c r="D3">
        <f>[1]FAO_2019_animal_trends!$F$36</f>
        <v>0.36159600997506236</v>
      </c>
      <c r="E3">
        <f t="shared" ref="E3:E6" si="1">D3/D$8</f>
        <v>0.36159600997506242</v>
      </c>
      <c r="F3" s="6">
        <f>E3-5*G3*E3*0.95/100</f>
        <v>0.31358889061540685</v>
      </c>
      <c r="G3">
        <f>[1]FAO_2019_animal_trends!$G$36</f>
        <v>2.7950424483806726</v>
      </c>
      <c r="H3">
        <f>ABS(F3-C3)</f>
        <v>1.9805548760061686E-2</v>
      </c>
    </row>
    <row r="4" spans="1:8" x14ac:dyDescent="0.25">
      <c r="A4" t="s">
        <v>11</v>
      </c>
      <c r="B4">
        <f>Herd_decision_tree!E18</f>
        <v>0.94977299158226114</v>
      </c>
      <c r="C4" s="6">
        <f t="shared" si="0"/>
        <v>5.7351605247385563E-2</v>
      </c>
      <c r="D4">
        <f>[1]FAO_2019_animal_trends!$F$39</f>
        <v>4.9875311720698257E-2</v>
      </c>
      <c r="E4">
        <f t="shared" si="1"/>
        <v>4.9875311720698264E-2</v>
      </c>
      <c r="F4" s="6">
        <f t="shared" ref="F4:F6" si="2">E4-5*G4*E4*0.95/100</f>
        <v>4.6666186084097429E-2</v>
      </c>
      <c r="G4">
        <f>[1]FAO_2019_animal_trends!$G$40</f>
        <v>1.354588821344141</v>
      </c>
      <c r="H4">
        <f t="shared" ref="H4:H6" si="3">ABS(F4-C4)</f>
        <v>1.0685419163288135E-2</v>
      </c>
    </row>
    <row r="5" spans="1:8" x14ac:dyDescent="0.25">
      <c r="A5" t="s">
        <v>42</v>
      </c>
      <c r="B5">
        <f>Herd_decision_tree!E29</f>
        <v>0.84378557029964618</v>
      </c>
      <c r="C5" s="6">
        <f t="shared" si="0"/>
        <v>5.0951603562285619E-2</v>
      </c>
      <c r="D5">
        <f>[1]FAO_2019_animal_trends!$F$38</f>
        <v>4.9875311720698257E-2</v>
      </c>
      <c r="E5">
        <f t="shared" si="1"/>
        <v>4.9875311720698264E-2</v>
      </c>
      <c r="F5" s="6">
        <f t="shared" si="2"/>
        <v>4.7418024088714393E-2</v>
      </c>
      <c r="G5">
        <f>[1]FAO_2019_animal_trends!$G$38</f>
        <v>1.0372340425531916</v>
      </c>
      <c r="H5">
        <f t="shared" si="3"/>
        <v>3.5335794735712259E-3</v>
      </c>
    </row>
    <row r="6" spans="1:8" x14ac:dyDescent="0.25">
      <c r="A6" t="s">
        <v>23</v>
      </c>
      <c r="B6">
        <f>Herd_decision_tree!E25</f>
        <v>0.71559201310109077</v>
      </c>
      <c r="C6" s="6">
        <f t="shared" si="0"/>
        <v>4.3210694573642391E-2</v>
      </c>
      <c r="D6">
        <f>[1]FAO_2019_animal_trends!$F$37</f>
        <v>2.4937655860349127E-3</v>
      </c>
      <c r="E6">
        <f t="shared" si="1"/>
        <v>2.4937655860349131E-3</v>
      </c>
      <c r="F6" s="6">
        <f t="shared" si="2"/>
        <v>-7.7485333020033496E-3</v>
      </c>
      <c r="G6">
        <f>[1]FAO_2019_animal_trends!$G$37</f>
        <v>86.466565349544069</v>
      </c>
      <c r="H6">
        <f t="shared" si="3"/>
        <v>5.0959227875645739E-2</v>
      </c>
    </row>
    <row r="7" spans="1:8" x14ac:dyDescent="0.25">
      <c r="A7" t="s">
        <v>80</v>
      </c>
      <c r="C7" s="6"/>
      <c r="F7" s="6"/>
      <c r="G7">
        <f>76.3/(2012-1978.5)</f>
        <v>2.2776119402985073</v>
      </c>
    </row>
    <row r="8" spans="1:8" x14ac:dyDescent="0.25">
      <c r="B8">
        <f>SUM(B2:B6)</f>
        <v>16.560530215072884</v>
      </c>
      <c r="D8">
        <f>SUM(D2:D6)</f>
        <v>0.99999999999999989</v>
      </c>
      <c r="H8">
        <f>SUM(H2:H6)</f>
        <v>9.619187017075731E-2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6320-BEC2-4269-9329-43A80C09A702}">
  <dimension ref="A1:K53"/>
  <sheetViews>
    <sheetView tabSelected="1" workbookViewId="0">
      <selection activeCell="J44" sqref="J44"/>
    </sheetView>
  </sheetViews>
  <sheetFormatPr defaultRowHeight="15" x14ac:dyDescent="0.25"/>
  <cols>
    <col min="1" max="1" width="18.5703125" customWidth="1"/>
    <col min="2" max="2" width="17.85546875" bestFit="1" customWidth="1"/>
    <col min="3" max="3" width="16.7109375" bestFit="1" customWidth="1"/>
    <col min="4" max="4" width="15.28515625" bestFit="1" customWidth="1"/>
    <col min="5" max="5" width="16.28515625" bestFit="1" customWidth="1"/>
    <col min="7" max="7" width="28.42578125" customWidth="1"/>
    <col min="8" max="8" width="31.7109375" customWidth="1"/>
    <col min="10" max="10" width="12.5703125" bestFit="1" customWidth="1"/>
  </cols>
  <sheetData>
    <row r="1" spans="1:11" x14ac:dyDescent="0.25">
      <c r="A1" s="3"/>
      <c r="B1" s="2" t="s">
        <v>0</v>
      </c>
      <c r="C1" s="2" t="s">
        <v>1</v>
      </c>
      <c r="D1" s="2" t="s">
        <v>2</v>
      </c>
      <c r="E1" s="2" t="s">
        <v>30</v>
      </c>
      <c r="G1" s="1" t="s">
        <v>4</v>
      </c>
      <c r="K1" s="1" t="s">
        <v>34</v>
      </c>
    </row>
    <row r="2" spans="1:11" x14ac:dyDescent="0.25">
      <c r="A2" s="2" t="s">
        <v>76</v>
      </c>
      <c r="B2" s="8">
        <f>[2]Arid_Subsistence!$C$2/1000000*$H$18</f>
        <v>0.26935849565485659</v>
      </c>
      <c r="C2" s="8">
        <f>[3]SArid_Subsistence!$C$2/1000000*$H$18</f>
        <v>0.57058834189660623</v>
      </c>
      <c r="D2" s="8">
        <f>[4]Humid_Subsistence!$D$2/1000000*$H$18</f>
        <v>0.71943074584927413</v>
      </c>
      <c r="E2" s="9">
        <f>SUM(B2:D2)</f>
        <v>1.5593775834007371</v>
      </c>
      <c r="G2" t="s">
        <v>7</v>
      </c>
      <c r="H2" t="s">
        <v>5</v>
      </c>
      <c r="I2">
        <v>3.5000000000000003E-2</v>
      </c>
      <c r="K2" t="s">
        <v>37</v>
      </c>
    </row>
    <row r="3" spans="1:11" x14ac:dyDescent="0.25">
      <c r="A3" s="2" t="s">
        <v>77</v>
      </c>
      <c r="B3" s="8">
        <f>[5]Arid_Commercial!$C$2/1000000*$H$18</f>
        <v>5.5884478914862177</v>
      </c>
      <c r="C3" s="8">
        <f>[6]SArid_Commercial!$C$2/1000000*$H$18</f>
        <v>7.2365694102551341</v>
      </c>
      <c r="D3" s="8">
        <f>[7]Humid_Commercial!$D$2/1000000*$H$18</f>
        <v>6.0610912034605047</v>
      </c>
      <c r="E3" s="9">
        <f>SUM(B3:D3)</f>
        <v>18.886108505201854</v>
      </c>
      <c r="H3" t="s">
        <v>6</v>
      </c>
      <c r="I3">
        <v>0.68</v>
      </c>
      <c r="K3" t="s">
        <v>38</v>
      </c>
    </row>
    <row r="4" spans="1:11" x14ac:dyDescent="0.25">
      <c r="A4" s="2" t="s">
        <v>60</v>
      </c>
      <c r="B4" s="8">
        <f>[8]Dairy_total_Arid_2020!$C$2/1000000*$H$18</f>
        <v>3.0271361942572905E-2</v>
      </c>
      <c r="C4" s="8">
        <f>[9]Dairy_total_SArid_2020!$C$2/1000000*$H$18</f>
        <v>1.4765740788097195</v>
      </c>
      <c r="D4" s="8">
        <f>[10]Dairy_total_Humid_2020!$D$2/1000000*$H$18</f>
        <v>6.3853780054327789</v>
      </c>
      <c r="E4" s="9"/>
    </row>
    <row r="5" spans="1:11" x14ac:dyDescent="0.25">
      <c r="A5" s="2" t="s">
        <v>80</v>
      </c>
      <c r="B5" s="8">
        <f>9.78*0.76*[11]Sheep_total_Arid_2020!$C$2/1000000*$H$18</f>
        <v>11.794047385286973</v>
      </c>
      <c r="C5" s="8">
        <f>9.78*0.76*[12]Sheep_total_SArid_2020!$C$2/1000000*$H$18</f>
        <v>9.6481198260451801</v>
      </c>
      <c r="D5" s="8">
        <f>9.78*0.76*[13]Sheep_total_Humid_2020!$D$2/1000000*$H$18</f>
        <v>9.0810136627013929</v>
      </c>
      <c r="E5" s="9">
        <f>SUM(B5:D5)</f>
        <v>30.52318087403355</v>
      </c>
    </row>
    <row r="6" spans="1:11" x14ac:dyDescent="0.25">
      <c r="A6" s="2" t="s">
        <v>78</v>
      </c>
      <c r="B6" s="8">
        <f>SUM(B2:B3)</f>
        <v>5.8578063871410739</v>
      </c>
      <c r="C6" s="8">
        <f>SUM(C2:C3)</f>
        <v>7.8071577521517401</v>
      </c>
      <c r="D6" s="8">
        <f>SUM(D2:D3)</f>
        <v>6.7805219493097786</v>
      </c>
      <c r="E6" s="9">
        <f>SUM(B6:D6)</f>
        <v>20.445486088602593</v>
      </c>
    </row>
    <row r="7" spans="1:11" x14ac:dyDescent="0.25">
      <c r="B7" s="9"/>
      <c r="C7" s="9"/>
      <c r="D7" s="9"/>
      <c r="E7" s="9"/>
      <c r="G7" t="s">
        <v>36</v>
      </c>
      <c r="H7" t="s">
        <v>40</v>
      </c>
      <c r="I7" s="6">
        <f>0.7391304+0.03</f>
        <v>0.76913039999999999</v>
      </c>
      <c r="K7" t="s">
        <v>39</v>
      </c>
    </row>
    <row r="8" spans="1:11" x14ac:dyDescent="0.25">
      <c r="A8" s="5" t="s">
        <v>33</v>
      </c>
      <c r="B8" s="9"/>
      <c r="C8" s="9"/>
      <c r="D8" s="9"/>
      <c r="E8" s="9"/>
      <c r="H8" t="s">
        <v>68</v>
      </c>
      <c r="I8" s="6">
        <f>0.5348+0.05</f>
        <v>0.5848000000000001</v>
      </c>
      <c r="K8" t="s">
        <v>39</v>
      </c>
    </row>
    <row r="9" spans="1:11" x14ac:dyDescent="0.25">
      <c r="A9" s="2" t="s">
        <v>8</v>
      </c>
      <c r="B9" s="9"/>
      <c r="C9" s="9"/>
      <c r="D9" s="9"/>
      <c r="E9" s="9"/>
      <c r="H9" t="s">
        <v>41</v>
      </c>
      <c r="I9">
        <f>0.0567+0.1</f>
        <v>0.15670000000000001</v>
      </c>
      <c r="K9" t="s">
        <v>39</v>
      </c>
    </row>
    <row r="10" spans="1:11" x14ac:dyDescent="0.25">
      <c r="A10" s="3" t="s">
        <v>13</v>
      </c>
      <c r="B10" s="9">
        <f>B3*I7</f>
        <v>4.2982451621579507</v>
      </c>
      <c r="C10" s="9">
        <f>C3*I8</f>
        <v>4.2319457911172034</v>
      </c>
      <c r="D10" s="9"/>
      <c r="E10" s="9">
        <f t="shared" ref="E10:E20" si="0">SUM(B10:D10)</f>
        <v>8.5301909532751541</v>
      </c>
    </row>
    <row r="11" spans="1:11" x14ac:dyDescent="0.25">
      <c r="A11" s="3" t="s">
        <v>14</v>
      </c>
      <c r="B11" s="9">
        <f>B10*(1-I11)</f>
        <v>3.7635434639855019</v>
      </c>
      <c r="C11" s="9">
        <f>C10*(1-I11)</f>
        <v>3.7054917347022234</v>
      </c>
      <c r="D11" s="9"/>
      <c r="E11" s="9">
        <f t="shared" si="0"/>
        <v>7.4690351986877257</v>
      </c>
      <c r="G11" t="s">
        <v>47</v>
      </c>
      <c r="H11" t="s">
        <v>9</v>
      </c>
      <c r="I11">
        <f>(0.1244)</f>
        <v>0.1244</v>
      </c>
      <c r="K11" t="s">
        <v>39</v>
      </c>
    </row>
    <row r="12" spans="1:11" x14ac:dyDescent="0.25">
      <c r="A12" s="3" t="s">
        <v>15</v>
      </c>
      <c r="B12" s="9">
        <f>B10*(I11)</f>
        <v>0.53470169817244906</v>
      </c>
      <c r="C12" s="9">
        <f>C10*(I11)</f>
        <v>0.52645405641498011</v>
      </c>
      <c r="D12" s="9"/>
      <c r="E12" s="9">
        <f t="shared" si="0"/>
        <v>1.0611557545874293</v>
      </c>
      <c r="H12" t="s">
        <v>10</v>
      </c>
      <c r="I12">
        <f>(0.07)</f>
        <v>7.0000000000000007E-2</v>
      </c>
      <c r="K12" t="s">
        <v>39</v>
      </c>
    </row>
    <row r="13" spans="1:11" x14ac:dyDescent="0.25">
      <c r="B13" s="9"/>
      <c r="C13" s="9"/>
      <c r="D13" s="9"/>
      <c r="E13" s="9"/>
      <c r="H13" t="s">
        <v>12</v>
      </c>
      <c r="I13">
        <f>(0.08)</f>
        <v>0.08</v>
      </c>
      <c r="K13" t="s">
        <v>39</v>
      </c>
    </row>
    <row r="14" spans="1:11" x14ac:dyDescent="0.25">
      <c r="A14" s="3" t="s">
        <v>16</v>
      </c>
      <c r="B14" s="9"/>
      <c r="C14" s="9">
        <f>C3*(1-I8)</f>
        <v>3.0046236191379312</v>
      </c>
      <c r="D14" s="9">
        <f>D3*(1-I8)</f>
        <v>2.516565067676801</v>
      </c>
      <c r="E14" s="9">
        <f t="shared" si="0"/>
        <v>5.5211886868147317</v>
      </c>
    </row>
    <row r="15" spans="1:11" x14ac:dyDescent="0.25">
      <c r="A15" s="3" t="s">
        <v>17</v>
      </c>
      <c r="B15" s="9"/>
      <c r="C15" s="9">
        <f>C14*(1-I12)</f>
        <v>2.7942999657982757</v>
      </c>
      <c r="D15" s="9">
        <f>D14*(1-I12)</f>
        <v>2.3404055129394248</v>
      </c>
      <c r="E15" s="9">
        <f t="shared" si="0"/>
        <v>5.1347054787377004</v>
      </c>
    </row>
    <row r="16" spans="1:11" x14ac:dyDescent="0.25">
      <c r="A16" s="3" t="s">
        <v>18</v>
      </c>
      <c r="B16" s="9"/>
      <c r="C16" s="9">
        <f>C14*(I12)</f>
        <v>0.21032365333965519</v>
      </c>
      <c r="D16" s="9">
        <f>D14*(I12)</f>
        <v>0.17615955473737607</v>
      </c>
      <c r="E16" s="9">
        <f t="shared" si="0"/>
        <v>0.38648320807703129</v>
      </c>
    </row>
    <row r="17" spans="1:8" x14ac:dyDescent="0.25">
      <c r="B17" s="9"/>
      <c r="C17" s="9"/>
      <c r="D17" s="9"/>
      <c r="E17" s="9"/>
    </row>
    <row r="18" spans="1:8" x14ac:dyDescent="0.25">
      <c r="A18" s="3" t="s">
        <v>11</v>
      </c>
      <c r="B18" s="9"/>
      <c r="C18" s="9"/>
      <c r="D18" s="9">
        <f>D3*I9</f>
        <v>0.94977299158226114</v>
      </c>
      <c r="E18" s="9">
        <f t="shared" si="0"/>
        <v>0.94977299158226114</v>
      </c>
      <c r="G18" t="s">
        <v>115</v>
      </c>
      <c r="H18">
        <v>1.22</v>
      </c>
    </row>
    <row r="19" spans="1:8" x14ac:dyDescent="0.25">
      <c r="A19" s="3" t="s">
        <v>19</v>
      </c>
      <c r="B19" s="9"/>
      <c r="C19" s="9"/>
      <c r="D19" s="9">
        <f>D$18*(1-I13)</f>
        <v>0.87379115225568027</v>
      </c>
      <c r="E19" s="9">
        <f t="shared" si="0"/>
        <v>0.87379115225568027</v>
      </c>
    </row>
    <row r="20" spans="1:8" x14ac:dyDescent="0.25">
      <c r="A20" s="3" t="s">
        <v>20</v>
      </c>
      <c r="B20" s="9"/>
      <c r="C20" s="9"/>
      <c r="D20" s="9">
        <f>D$18*(I13)</f>
        <v>7.5981839326580897E-2</v>
      </c>
      <c r="E20" s="9">
        <f t="shared" si="0"/>
        <v>7.5981839326580897E-2</v>
      </c>
    </row>
    <row r="21" spans="1:8" x14ac:dyDescent="0.25">
      <c r="B21" s="9"/>
      <c r="C21" s="9"/>
      <c r="D21" s="9"/>
      <c r="E21" s="9"/>
    </row>
    <row r="22" spans="1:8" x14ac:dyDescent="0.25">
      <c r="B22" s="9"/>
      <c r="C22" s="9"/>
      <c r="D22" s="9"/>
      <c r="E22" s="9"/>
    </row>
    <row r="23" spans="1:8" x14ac:dyDescent="0.25">
      <c r="A23" s="3" t="s">
        <v>28</v>
      </c>
      <c r="B23" s="9">
        <f>SUM(B15:B16)+SUM(B11:B12)</f>
        <v>4.2982451621579507</v>
      </c>
      <c r="C23" s="9">
        <f>SUM(C15:C16)+SUM(C11:C12)</f>
        <v>7.2365694102551341</v>
      </c>
      <c r="D23" s="9">
        <f>SUM(D15:D16)+SUM(D19:D20)</f>
        <v>3.466338059259062</v>
      </c>
      <c r="E23" s="9">
        <f>SUM(B23:D23)</f>
        <v>15.001152631672147</v>
      </c>
    </row>
    <row r="24" spans="1:8" x14ac:dyDescent="0.25">
      <c r="A24" s="3"/>
      <c r="B24" s="9"/>
      <c r="C24" s="9"/>
      <c r="D24" s="9"/>
      <c r="E24" s="9"/>
    </row>
    <row r="25" spans="1:8" x14ac:dyDescent="0.25">
      <c r="A25" s="3" t="s">
        <v>23</v>
      </c>
      <c r="B25" s="9">
        <f>B6*$I2</f>
        <v>0.2050232235499376</v>
      </c>
      <c r="C25" s="9">
        <f t="shared" ref="C25:D25" si="1">C6*$I2</f>
        <v>0.27325052132531091</v>
      </c>
      <c r="D25" s="9">
        <f t="shared" si="1"/>
        <v>0.23731826822584226</v>
      </c>
      <c r="E25" s="9">
        <f>SUM(B25:D25)</f>
        <v>0.71559201310109077</v>
      </c>
    </row>
    <row r="26" spans="1:8" x14ac:dyDescent="0.25">
      <c r="A26" s="3" t="s">
        <v>24</v>
      </c>
      <c r="B26" s="9">
        <f>B25*$I3</f>
        <v>0.13941579201395757</v>
      </c>
      <c r="C26" s="9">
        <f t="shared" ref="C26:D26" si="2">C25*$I3</f>
        <v>0.18581035450121144</v>
      </c>
      <c r="D26" s="9">
        <f t="shared" si="2"/>
        <v>0.16137642239357275</v>
      </c>
      <c r="E26" s="9">
        <f>SUM(B26:D26)</f>
        <v>0.48660256890874176</v>
      </c>
      <c r="G26">
        <f>E26*E49</f>
        <v>0.48827647518794504</v>
      </c>
    </row>
    <row r="27" spans="1:8" x14ac:dyDescent="0.25">
      <c r="A27" s="3" t="s">
        <v>25</v>
      </c>
      <c r="B27" s="9">
        <f>B25*(1-$I3)</f>
        <v>6.5607431535980018E-2</v>
      </c>
      <c r="C27" s="9">
        <f t="shared" ref="C27:D27" si="3">C25*(1-$I3)</f>
        <v>8.7440166824099483E-2</v>
      </c>
      <c r="D27" s="9">
        <f t="shared" si="3"/>
        <v>7.5941845832269511E-2</v>
      </c>
      <c r="E27" s="9">
        <f t="shared" ref="E27:E31" si="4">SUM(B27:D27)</f>
        <v>0.22898944419234901</v>
      </c>
      <c r="G27">
        <f>E27*1.21</f>
        <v>0.27707722747274227</v>
      </c>
    </row>
    <row r="28" spans="1:8" x14ac:dyDescent="0.25">
      <c r="A28" s="3"/>
      <c r="B28" s="9"/>
      <c r="C28" s="9"/>
      <c r="D28" s="9"/>
      <c r="E28" s="9"/>
    </row>
    <row r="29" spans="1:8" x14ac:dyDescent="0.25">
      <c r="A29" s="3" t="s">
        <v>22</v>
      </c>
      <c r="B29" s="9">
        <f>B2-B25</f>
        <v>6.4335272104918989E-2</v>
      </c>
      <c r="C29" s="9">
        <f t="shared" ref="C29:D29" si="5">C2-C25</f>
        <v>0.29733782057129532</v>
      </c>
      <c r="D29" s="9">
        <f t="shared" si="5"/>
        <v>0.4821124776234319</v>
      </c>
      <c r="E29" s="9">
        <f t="shared" si="4"/>
        <v>0.84378557029964618</v>
      </c>
      <c r="G29">
        <f>22*E49</f>
        <v>22.075679703510524</v>
      </c>
    </row>
    <row r="30" spans="1:8" x14ac:dyDescent="0.25">
      <c r="A30" s="3" t="s">
        <v>26</v>
      </c>
      <c r="B30" s="9">
        <f>B29*($I3)</f>
        <v>4.3747985031344916E-2</v>
      </c>
      <c r="C30" s="9">
        <f t="shared" ref="C30" si="6">C29*($I3)</f>
        <v>0.20218971798848084</v>
      </c>
      <c r="D30" s="9">
        <f>D29*($I3)</f>
        <v>0.32783648478393373</v>
      </c>
      <c r="E30" s="9">
        <f t="shared" si="4"/>
        <v>0.57377418780375944</v>
      </c>
      <c r="G30">
        <f>E30*E49</f>
        <v>0.5757479632771676</v>
      </c>
    </row>
    <row r="31" spans="1:8" x14ac:dyDescent="0.25">
      <c r="A31" s="3" t="s">
        <v>27</v>
      </c>
      <c r="B31" s="9">
        <f>B29*(1-$I3)</f>
        <v>2.0587287073574073E-2</v>
      </c>
      <c r="C31" s="9">
        <f t="shared" ref="C31:D31" si="7">C29*(1-$I3)</f>
        <v>9.5148102582814489E-2</v>
      </c>
      <c r="D31" s="9">
        <f t="shared" si="7"/>
        <v>0.15427599283949819</v>
      </c>
      <c r="E31" s="9">
        <f t="shared" si="4"/>
        <v>0.27001138249588674</v>
      </c>
    </row>
    <row r="32" spans="1:8" x14ac:dyDescent="0.25">
      <c r="A32" s="3"/>
      <c r="B32" s="9"/>
      <c r="C32" s="9"/>
      <c r="D32" s="9"/>
      <c r="E32" s="9"/>
    </row>
    <row r="33" spans="1:11" x14ac:dyDescent="0.25">
      <c r="A33" s="3" t="s">
        <v>29</v>
      </c>
      <c r="B33" s="9">
        <f>SUM(B11:B12,B15:B16,B26:B27,B30:B31)</f>
        <v>4.567603657812807</v>
      </c>
      <c r="C33" s="9">
        <f>SUM(C11:C12,C15:C16,C26:C27,C30:C31)</f>
        <v>7.8071577521517401</v>
      </c>
      <c r="D33" s="9">
        <f>SUM(D11:D12,D15:D16,D30:D31,D19:D20)</f>
        <v>3.9484505368824943</v>
      </c>
      <c r="E33" s="9">
        <f>SUM(B33:D33)</f>
        <v>16.323211946847042</v>
      </c>
    </row>
    <row r="34" spans="1:11" x14ac:dyDescent="0.25">
      <c r="A34" s="3"/>
      <c r="B34" s="9"/>
      <c r="C34" s="9"/>
      <c r="D34" s="9"/>
      <c r="E34" s="9"/>
    </row>
    <row r="35" spans="1:11" x14ac:dyDescent="0.25">
      <c r="A35" s="3" t="s">
        <v>60</v>
      </c>
      <c r="B35" s="9">
        <f>B4</f>
        <v>3.0271361942572905E-2</v>
      </c>
      <c r="C35" s="9">
        <f t="shared" ref="C35:D35" si="8">C4</f>
        <v>1.4765740788097195</v>
      </c>
      <c r="D35" s="9">
        <f t="shared" si="8"/>
        <v>6.3853780054327789</v>
      </c>
      <c r="E35" s="9">
        <f t="shared" ref="E35" si="9">SUM(B35:D35)</f>
        <v>7.8922234461850715</v>
      </c>
    </row>
    <row r="36" spans="1:11" x14ac:dyDescent="0.25">
      <c r="A36" s="3"/>
      <c r="B36" s="9"/>
      <c r="C36" s="9"/>
      <c r="D36" s="9"/>
      <c r="E36" s="9"/>
    </row>
    <row r="37" spans="1:11" x14ac:dyDescent="0.25">
      <c r="A37" s="3"/>
      <c r="B37" s="9"/>
      <c r="C37" s="9"/>
      <c r="D37" s="9"/>
      <c r="E37" s="9"/>
    </row>
    <row r="38" spans="1:11" x14ac:dyDescent="0.25">
      <c r="A38" s="3"/>
      <c r="B38" s="9"/>
      <c r="C38" s="9"/>
      <c r="D38" s="9"/>
      <c r="E38" s="9"/>
    </row>
    <row r="39" spans="1:11" x14ac:dyDescent="0.25">
      <c r="B39" s="9"/>
      <c r="C39" s="9"/>
      <c r="D39" s="9"/>
      <c r="E39" s="9"/>
    </row>
    <row r="40" spans="1:11" x14ac:dyDescent="0.25">
      <c r="A40" s="2" t="s">
        <v>35</v>
      </c>
      <c r="B40" s="9"/>
      <c r="C40" s="9"/>
      <c r="D40" s="9"/>
      <c r="E40" s="9"/>
    </row>
    <row r="41" spans="1:11" x14ac:dyDescent="0.25">
      <c r="A41" s="4" t="s">
        <v>31</v>
      </c>
      <c r="B41" s="9"/>
      <c r="C41" s="9"/>
      <c r="D41" s="9"/>
      <c r="E41" s="9"/>
      <c r="G41" s="3"/>
      <c r="H41" t="s">
        <v>169</v>
      </c>
    </row>
    <row r="42" spans="1:11" x14ac:dyDescent="0.25">
      <c r="A42" s="3" t="s">
        <v>21</v>
      </c>
      <c r="B42" s="9">
        <f>SUM(B11,B15)</f>
        <v>3.7635434639855019</v>
      </c>
      <c r="C42" s="9">
        <f>SUM(C11,C15)</f>
        <v>6.4997917005004986</v>
      </c>
      <c r="D42" s="9">
        <f>SUM(D15,D19)</f>
        <v>3.2141966651951051</v>
      </c>
      <c r="E42" s="9">
        <f>SUM(B42:D42)</f>
        <v>13.477531829681107</v>
      </c>
      <c r="F42">
        <f>E42/E$46</f>
        <v>0.81758574893750702</v>
      </c>
      <c r="H42" t="s">
        <v>170</v>
      </c>
      <c r="I42">
        <v>1.5</v>
      </c>
      <c r="J42" s="9">
        <f>E43+E44</f>
        <v>2.5080157193769619</v>
      </c>
      <c r="K42">
        <f>ABS(J42-I42)/J42</f>
        <v>0.4019176241955022</v>
      </c>
    </row>
    <row r="43" spans="1:11" x14ac:dyDescent="0.25">
      <c r="A43" s="3" t="s">
        <v>48</v>
      </c>
      <c r="B43" s="9">
        <f>SUM(B12,B16)</f>
        <v>0.53470169817244906</v>
      </c>
      <c r="C43" s="9">
        <f>SUM(C12,C16)</f>
        <v>0.7367777097546353</v>
      </c>
      <c r="D43" s="9">
        <f>SUM(D12,D16)</f>
        <v>0.17615955473737607</v>
      </c>
      <c r="E43" s="10">
        <f>SUM(B43:D43)</f>
        <v>1.4476389626644603</v>
      </c>
      <c r="F43">
        <f>E43/E$46</f>
        <v>8.7817932870661461E-2</v>
      </c>
      <c r="H43" t="s">
        <v>21</v>
      </c>
      <c r="I43">
        <f>0.95*E48-I42</f>
        <v>14.214192249999998</v>
      </c>
      <c r="J43" s="9">
        <f>E42</f>
        <v>13.477531829681107</v>
      </c>
      <c r="K43">
        <f>ABS(J43-I43)/J43</f>
        <v>5.4658407016080594E-2</v>
      </c>
    </row>
    <row r="44" spans="1:11" x14ac:dyDescent="0.25">
      <c r="A44" s="3" t="s">
        <v>49</v>
      </c>
      <c r="B44" s="9">
        <f>SUM(B26,B30)</f>
        <v>0.18316377704530248</v>
      </c>
      <c r="C44" s="9">
        <f t="shared" ref="C44:D44" si="10">SUM(C26,C30)</f>
        <v>0.38800007248969226</v>
      </c>
      <c r="D44" s="9">
        <f t="shared" si="10"/>
        <v>0.48921290717750648</v>
      </c>
      <c r="E44" s="9">
        <f>SUM(B44:D44)</f>
        <v>1.0603767567125013</v>
      </c>
      <c r="F44">
        <f>E44/E$46</f>
        <v>6.4325496370445448E-2</v>
      </c>
    </row>
    <row r="45" spans="1:11" x14ac:dyDescent="0.25">
      <c r="A45" s="3" t="s">
        <v>32</v>
      </c>
      <c r="B45" s="9">
        <f>SUM(B27,B31)</f>
        <v>8.6194718609554091E-2</v>
      </c>
      <c r="C45" s="9">
        <f t="shared" ref="C45" si="11">SUM(C27,C31)</f>
        <v>0.18258826940691397</v>
      </c>
      <c r="D45" s="9">
        <f>SUM(D27,D31)</f>
        <v>0.2302178386717677</v>
      </c>
      <c r="E45" s="9">
        <f t="shared" ref="E45" si="12">SUM(B45:D45)</f>
        <v>0.49900082668823575</v>
      </c>
      <c r="F45">
        <f>E45/E$46</f>
        <v>3.0270821821386084E-2</v>
      </c>
    </row>
    <row r="46" spans="1:11" x14ac:dyDescent="0.25">
      <c r="A46" s="3" t="s">
        <v>30</v>
      </c>
      <c r="B46" s="9">
        <f>SUM(B42:B45)</f>
        <v>4.567603657812807</v>
      </c>
      <c r="C46" s="9">
        <f t="shared" ref="C46:D46" si="13">SUM(C42:C45)</f>
        <v>7.8071577521517401</v>
      </c>
      <c r="D46" s="9">
        <f t="shared" si="13"/>
        <v>4.1097869657817556</v>
      </c>
      <c r="E46" s="9">
        <f>SUM(B46:D46)</f>
        <v>16.484548375746304</v>
      </c>
    </row>
    <row r="48" spans="1:11" x14ac:dyDescent="0.25">
      <c r="A48" s="4"/>
      <c r="E48">
        <f>16.541255</f>
        <v>16.541255</v>
      </c>
    </row>
    <row r="49" spans="2:5" x14ac:dyDescent="0.25">
      <c r="E49">
        <f>E48/E46</f>
        <v>1.0034399865232055</v>
      </c>
    </row>
    <row r="52" spans="2:5" x14ac:dyDescent="0.25">
      <c r="B52">
        <f>B29/B2</f>
        <v>0.23884627046386242</v>
      </c>
      <c r="C52">
        <f t="shared" ref="C52:D52" si="14">C29/C2</f>
        <v>0.52110742323083525</v>
      </c>
      <c r="D52">
        <f t="shared" si="14"/>
        <v>0.67013048914709283</v>
      </c>
    </row>
    <row r="53" spans="2:5" x14ac:dyDescent="0.25">
      <c r="B53">
        <f>B25/B2</f>
        <v>0.76115372953613758</v>
      </c>
      <c r="C53">
        <f t="shared" ref="C53:D53" si="15">C25/C2</f>
        <v>0.47889257676916475</v>
      </c>
      <c r="D53">
        <f t="shared" si="15"/>
        <v>0.32986951085290722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4001-CB5D-4E56-8C0D-2957A97A30B1}">
  <dimension ref="A1:E7"/>
  <sheetViews>
    <sheetView workbookViewId="0">
      <selection activeCell="E7" sqref="E7"/>
    </sheetView>
  </sheetViews>
  <sheetFormatPr defaultRowHeight="15" x14ac:dyDescent="0.25"/>
  <cols>
    <col min="2" max="2" width="16.140625" customWidth="1"/>
  </cols>
  <sheetData>
    <row r="1" spans="1:5" x14ac:dyDescent="0.25">
      <c r="B1">
        <v>2020</v>
      </c>
      <c r="C1" t="s">
        <v>45</v>
      </c>
      <c r="D1" t="s">
        <v>46</v>
      </c>
      <c r="E1">
        <v>2050</v>
      </c>
    </row>
    <row r="2" spans="1:5" x14ac:dyDescent="0.25">
      <c r="A2" t="s">
        <v>13</v>
      </c>
      <c r="B2" s="7">
        <f>Validate_2020!B2*Herd_decision_tree!E49</f>
        <v>8.5595346951947899</v>
      </c>
      <c r="C2">
        <f>[1]FAO_2019_animal_trends!$G$35/100</f>
        <v>3.8312009613345605E-3</v>
      </c>
      <c r="D2">
        <f>B2*C2*30</f>
        <v>0.9837989265842042</v>
      </c>
      <c r="E2">
        <f>B2+D2</f>
        <v>9.543333621778995</v>
      </c>
    </row>
    <row r="3" spans="1:5" x14ac:dyDescent="0.25">
      <c r="A3" t="s">
        <v>16</v>
      </c>
      <c r="B3" s="7">
        <f>Validate_2020!B3*Herd_decision_tree!E49</f>
        <v>5.5401815014894495</v>
      </c>
      <c r="C3">
        <f>[1]FAO_2019_animal_trends!$G36/100</f>
        <v>2.7950424483806725E-2</v>
      </c>
      <c r="D3">
        <f t="shared" ref="D3:D7" si="0">B3*C3*30</f>
        <v>4.6455127405189147</v>
      </c>
      <c r="E3">
        <f t="shared" ref="E3:E7" si="1">B3+D3</f>
        <v>10.185694242008363</v>
      </c>
    </row>
    <row r="4" spans="1:5" x14ac:dyDescent="0.25">
      <c r="A4" t="s">
        <v>11</v>
      </c>
      <c r="B4" s="7">
        <f>Validate_2020!B4*Herd_decision_tree!E49</f>
        <v>0.95304019787340877</v>
      </c>
      <c r="C4">
        <f>[1]FAO_2019_animal_trends!$G39/100</f>
        <v>7.6101823708206687E-2</v>
      </c>
      <c r="D4">
        <f t="shared" si="0"/>
        <v>2.1758429137618971</v>
      </c>
      <c r="E4">
        <f t="shared" si="1"/>
        <v>3.128883111635306</v>
      </c>
    </row>
    <row r="5" spans="1:5" x14ac:dyDescent="0.25">
      <c r="A5" t="s">
        <v>42</v>
      </c>
      <c r="B5" s="7">
        <f>Validate_2020!B5*Herd_decision_tree!E49</f>
        <v>0.84668818128995227</v>
      </c>
      <c r="C5">
        <f>[1]FAO_2019_animal_trends!$G38/100</f>
        <v>1.0372340425531916E-2</v>
      </c>
      <c r="D5">
        <f t="shared" si="0"/>
        <v>0.26346414151841602</v>
      </c>
      <c r="E5">
        <f t="shared" si="1"/>
        <v>1.1101523228083683</v>
      </c>
    </row>
    <row r="6" spans="1:5" x14ac:dyDescent="0.25">
      <c r="A6" t="s">
        <v>23</v>
      </c>
      <c r="B6" s="7">
        <f>Validate_2020!B6*Herd_decision_tree!E49</f>
        <v>0.71805363998227201</v>
      </c>
      <c r="C6">
        <f>[1]FAO_2019_animal_trends!$G37/100</f>
        <v>0.86466565349544067</v>
      </c>
      <c r="D6">
        <f t="shared" si="0"/>
        <v>18.626289595801534</v>
      </c>
      <c r="E6">
        <f t="shared" si="1"/>
        <v>19.344343235783807</v>
      </c>
    </row>
    <row r="7" spans="1:5" x14ac:dyDescent="0.25">
      <c r="A7" t="s">
        <v>60</v>
      </c>
      <c r="B7">
        <f>Herd_decision_tree!E35</f>
        <v>7.8922234461850715</v>
      </c>
      <c r="C7">
        <f>[1]FAO_2019_animal_trends!$G39/100</f>
        <v>7.6101823708206687E-2</v>
      </c>
      <c r="D7">
        <f t="shared" si="0"/>
        <v>18.018377921020551</v>
      </c>
      <c r="E7">
        <f t="shared" si="1"/>
        <v>25.910601367205622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D3D0-4020-4418-A256-3E770B560826}">
  <dimension ref="A1:M8"/>
  <sheetViews>
    <sheetView workbookViewId="0">
      <selection activeCell="F8" sqref="F8"/>
    </sheetView>
  </sheetViews>
  <sheetFormatPr defaultRowHeight="15" x14ac:dyDescent="0.25"/>
  <sheetData>
    <row r="1" spans="1:13" x14ac:dyDescent="0.25">
      <c r="B1">
        <v>2020</v>
      </c>
      <c r="G1">
        <v>2050</v>
      </c>
      <c r="L1" t="s">
        <v>56</v>
      </c>
    </row>
    <row r="2" spans="1:13" x14ac:dyDescent="0.25">
      <c r="B2" t="s">
        <v>54</v>
      </c>
      <c r="C2" t="s">
        <v>55</v>
      </c>
      <c r="D2" t="s">
        <v>3</v>
      </c>
      <c r="E2" t="s">
        <v>56</v>
      </c>
      <c r="G2" t="s">
        <v>54</v>
      </c>
      <c r="H2" t="s">
        <v>55</v>
      </c>
      <c r="I2" t="s">
        <v>3</v>
      </c>
      <c r="J2" t="s">
        <v>57</v>
      </c>
      <c r="M2" t="s">
        <v>57</v>
      </c>
    </row>
    <row r="3" spans="1:13" x14ac:dyDescent="0.25">
      <c r="A3" t="s">
        <v>13</v>
      </c>
      <c r="B3">
        <f>[14]Pastoral_Zebu_2020!$K$2</f>
        <v>7912803.5780913802</v>
      </c>
      <c r="C3">
        <f>[15]Pastoral_Boran_2020!$K$2</f>
        <v>1124203.7226895699</v>
      </c>
      <c r="D3">
        <f>SUM(B3:C3)/1000000</f>
        <v>9.0370073007809495</v>
      </c>
      <c r="E3">
        <f>Herd_decision_tree!E10*Herd_decision_tree!$E$49</f>
        <v>8.5595346951947899</v>
      </c>
      <c r="G3">
        <f>[16]Pastoral_Zebu_2050!$K$2</f>
        <v>8554757.4814370908</v>
      </c>
      <c r="H3">
        <f>[17]Pastoral_Boran_2050!$K$2</f>
        <v>1215408.67359516</v>
      </c>
      <c r="I3">
        <f>SUM(G3:H3)/1000000</f>
        <v>9.7701661550322516</v>
      </c>
      <c r="J3">
        <f>I3/D3</f>
        <v>1.0811285008243763</v>
      </c>
      <c r="L3">
        <f>E3+E3*30*Validate_2020!G2/100</f>
        <v>9.5433336217789932</v>
      </c>
      <c r="M3">
        <f>L3/E3</f>
        <v>1.1149360288400367</v>
      </c>
    </row>
    <row r="4" spans="1:13" x14ac:dyDescent="0.25">
      <c r="A4" t="s">
        <v>16</v>
      </c>
      <c r="B4">
        <f>[18]Agpastoral_Zebu_2020!$K$2</f>
        <v>3685141.0110471202</v>
      </c>
      <c r="C4">
        <f>[19]Agpastoral_Boran_2020!$K$2</f>
        <v>277376.20390618598</v>
      </c>
      <c r="D4">
        <f>SUM(B4:C4)/1000000</f>
        <v>3.9625172149533063</v>
      </c>
      <c r="E4">
        <f>Herd_decision_tree!E14*Herd_decision_tree!$E$49</f>
        <v>5.5401815014894495</v>
      </c>
      <c r="G4">
        <f>[20]Agpastoral_Zebu_2050!$K$2</f>
        <v>6488770.1197828101</v>
      </c>
      <c r="H4">
        <f>[21]Agpastoral_Boran_2050!$K$2</f>
        <v>488402.05019366002</v>
      </c>
      <c r="I4">
        <f t="shared" ref="I4:I7" si="0">SUM(G4:H4)/1000000</f>
        <v>6.9771721699764697</v>
      </c>
      <c r="J4">
        <f t="shared" ref="J4:J7" si="1">I4/D4</f>
        <v>1.7607928979202396</v>
      </c>
      <c r="L4">
        <f>E4+E4*30*Validate_2020!G3/100</f>
        <v>10.185694242008363</v>
      </c>
      <c r="M4">
        <f t="shared" ref="M4:M6" si="2">L4/E4</f>
        <v>1.8385127345142016</v>
      </c>
    </row>
    <row r="5" spans="1:13" x14ac:dyDescent="0.25">
      <c r="A5" t="s">
        <v>11</v>
      </c>
      <c r="B5">
        <f>[22]Mixed_Zebu_2020!$K$2</f>
        <v>298374.71550379699</v>
      </c>
      <c r="C5">
        <f>[23]Mixed_Boran_2020!$K$2</f>
        <v>25945.627401560501</v>
      </c>
      <c r="D5">
        <f>SUM(B5:C5)/1000000</f>
        <v>0.32432034290535749</v>
      </c>
      <c r="E5">
        <f>Herd_decision_tree!E18*Herd_decision_tree!$E$49</f>
        <v>0.95304019787340877</v>
      </c>
      <c r="G5">
        <f>[24]Mixed_Zebu_2050!$K$2</f>
        <v>404262.59496554697</v>
      </c>
      <c r="H5">
        <f>[25]Mixed_Boran_2050!$K$2</f>
        <v>35153.269665965803</v>
      </c>
      <c r="I5">
        <f t="shared" si="0"/>
        <v>0.43941586463151278</v>
      </c>
      <c r="J5">
        <f t="shared" si="1"/>
        <v>1.3548822152045585</v>
      </c>
      <c r="L5">
        <f>E5+E5*30*Validate_2020!G4/100</f>
        <v>1.3403334773726872</v>
      </c>
      <c r="M5">
        <f t="shared" si="2"/>
        <v>1.4063766464032423</v>
      </c>
    </row>
    <row r="6" spans="1:13" x14ac:dyDescent="0.25">
      <c r="A6" t="s">
        <v>42</v>
      </c>
      <c r="B6">
        <f>[26]Cowcalf_Boran_2020!$K$2</f>
        <v>1184753.34766715</v>
      </c>
      <c r="C6">
        <f>[27]Cowcalf_Exotic_2020!$K$2</f>
        <v>985977.36353097099</v>
      </c>
      <c r="D6">
        <f t="shared" ref="D6:D7" si="3">SUM(B6:C6)/1000000</f>
        <v>2.1707307111981207</v>
      </c>
      <c r="E6">
        <f>Herd_decision_tree!E29*Herd_decision_tree!$E$49</f>
        <v>0.84668818128995227</v>
      </c>
      <c r="G6">
        <f>[28]Cowcalf_Boran_2050!$K$2</f>
        <v>1806208.69891036</v>
      </c>
      <c r="H6">
        <f>[29]Cowcalf_Exotic_2050!$K$2</f>
        <v>1503165.94333724</v>
      </c>
      <c r="I6">
        <f t="shared" si="0"/>
        <v>3.3093746422476</v>
      </c>
      <c r="J6">
        <f t="shared" si="1"/>
        <v>1.5245440741108842</v>
      </c>
      <c r="L6">
        <f>E6+E6*30*Validate_2020!G5/100</f>
        <v>1.1101523228083683</v>
      </c>
      <c r="M6">
        <f t="shared" si="2"/>
        <v>1.3111702127659575</v>
      </c>
    </row>
    <row r="7" spans="1:13" x14ac:dyDescent="0.25">
      <c r="A7" t="s">
        <v>23</v>
      </c>
      <c r="B7">
        <f>[30]Finisher_Boran_2020!$K$2</f>
        <v>26321.876059999999</v>
      </c>
      <c r="C7">
        <f>[31]Finisher_Exotic_2020!$K$2</f>
        <v>12386.7653238613</v>
      </c>
      <c r="D7">
        <f t="shared" si="3"/>
        <v>3.8708641383861299E-2</v>
      </c>
      <c r="E7">
        <f>Herd_decision_tree!E25*Herd_decision_tree!$E$49</f>
        <v>0.71805363998227201</v>
      </c>
      <c r="G7">
        <f>[32]Finisher_Boran_2050!$K$2</f>
        <v>918345.45531155204</v>
      </c>
      <c r="H7">
        <f>[33]Finisher_Exotic_2050!$K$2</f>
        <v>432162.57168335503</v>
      </c>
      <c r="I7">
        <f t="shared" si="0"/>
        <v>1.350508026994907</v>
      </c>
      <c r="J7">
        <f t="shared" si="1"/>
        <v>34.889057810175977</v>
      </c>
      <c r="L7">
        <f>E7+E7*30*Validate_2020!G6/100</f>
        <v>19.344343235783803</v>
      </c>
      <c r="M7">
        <f>L7/E7</f>
        <v>26.939969604863219</v>
      </c>
    </row>
    <row r="8" spans="1:13" x14ac:dyDescent="0.25">
      <c r="D8">
        <f>SUM(D3:D7)</f>
        <v>15.533284211221597</v>
      </c>
      <c r="E8">
        <f>SUM(E3:E7)</f>
        <v>16.617498215829873</v>
      </c>
      <c r="G8">
        <f>SUM(G3:G7)</f>
        <v>18172344.350407358</v>
      </c>
      <c r="H8">
        <f t="shared" ref="H8:I8" si="4">SUM(H3:H7)</f>
        <v>3674292.5084753809</v>
      </c>
      <c r="I8">
        <f t="shared" si="4"/>
        <v>21.846636858882739</v>
      </c>
      <c r="J8">
        <f>I8/D8</f>
        <v>1.4064402969656753</v>
      </c>
      <c r="L8">
        <f>SUM(L3:L7)</f>
        <v>41.523856899752218</v>
      </c>
      <c r="M8">
        <f>L8/E8</f>
        <v>2.4988031507773223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91AA-CE3C-44BE-AF6B-8649852BC25F}">
  <dimension ref="A1:L30"/>
  <sheetViews>
    <sheetView workbookViewId="0">
      <selection activeCell="E21" sqref="E21"/>
    </sheetView>
  </sheetViews>
  <sheetFormatPr defaultRowHeight="15" x14ac:dyDescent="0.25"/>
  <cols>
    <col min="1" max="1" width="17.7109375" customWidth="1"/>
    <col min="2" max="2" width="32.85546875" customWidth="1"/>
    <col min="3" max="3" width="16.42578125" customWidth="1"/>
    <col min="4" max="4" width="18.85546875" bestFit="1" customWidth="1"/>
    <col min="5" max="5" width="14.28515625" customWidth="1"/>
    <col min="6" max="6" width="12.28515625" bestFit="1" customWidth="1"/>
    <col min="7" max="8" width="11.5703125" bestFit="1" customWidth="1"/>
    <col min="11" max="11" width="16.42578125" customWidth="1"/>
    <col min="12" max="12" width="9.5703125" bestFit="1" customWidth="1"/>
  </cols>
  <sheetData>
    <row r="1" spans="1:12" x14ac:dyDescent="0.25">
      <c r="A1" t="s">
        <v>65</v>
      </c>
      <c r="C1" t="s">
        <v>0</v>
      </c>
      <c r="D1" t="s">
        <v>58</v>
      </c>
      <c r="E1" t="s">
        <v>2</v>
      </c>
    </row>
    <row r="2" spans="1:12" x14ac:dyDescent="0.25">
      <c r="A2" t="s">
        <v>89</v>
      </c>
      <c r="B2" t="s">
        <v>86</v>
      </c>
      <c r="C2" s="12">
        <f>[34]ZS_Grassland_Arid!$D$2*L15</f>
        <v>7105918.9949999992</v>
      </c>
      <c r="D2" s="12">
        <f>[35]ZS_Grassland_SArid!$D$2*L15</f>
        <v>4556839.63</v>
      </c>
      <c r="E2" s="12">
        <f>[36]ZS_Grassland_Humid!$E$2*L15</f>
        <v>2262153.4458035277</v>
      </c>
    </row>
    <row r="3" spans="1:12" x14ac:dyDescent="0.25">
      <c r="B3" t="s">
        <v>87</v>
      </c>
      <c r="C3" s="12">
        <f>[37]ZS_Cropland_Arid!$D$2*L15</f>
        <v>18395.019999999997</v>
      </c>
      <c r="D3" s="12">
        <f>[38]ZS_Cropland_SArid!$D$2*L15</f>
        <v>686372.96</v>
      </c>
      <c r="E3" s="12">
        <f>[39]ZS_Cropland_Humid!$E$2*L15</f>
        <v>950603.98551942373</v>
      </c>
    </row>
    <row r="4" spans="1:12" x14ac:dyDescent="0.25">
      <c r="B4" t="s">
        <v>88</v>
      </c>
      <c r="C4" s="12">
        <f>[40]ZS_Shrubland_Arid!$D$2*L15</f>
        <v>9755293.3449999988</v>
      </c>
      <c r="D4" s="12">
        <f>[41]ZS_Shrubland_SArid!$D$2*L15</f>
        <v>12549721.555</v>
      </c>
      <c r="E4" s="12">
        <f>[42]ZS_Shrubland_Humid!$E$2*L15</f>
        <v>2223118.4370185882</v>
      </c>
    </row>
    <row r="5" spans="1:12" x14ac:dyDescent="0.25">
      <c r="C5" s="12"/>
      <c r="D5" s="12"/>
      <c r="E5" s="12"/>
    </row>
    <row r="6" spans="1:12" x14ac:dyDescent="0.25">
      <c r="B6" s="1" t="s">
        <v>90</v>
      </c>
    </row>
    <row r="7" spans="1:12" x14ac:dyDescent="0.25">
      <c r="A7">
        <v>2020</v>
      </c>
      <c r="B7" t="s">
        <v>69</v>
      </c>
      <c r="C7" s="15">
        <f>[43]NPP_2020_GRASS_Arid!$E$2</f>
        <v>0.33293323112310402</v>
      </c>
      <c r="D7" s="15">
        <f>[44]NPP_2020_GRASS_SArid!$E$2</f>
        <v>0.48080803465972</v>
      </c>
      <c r="E7" s="14">
        <f>[45]filtered!$F$2</f>
        <v>0.88607168377191448</v>
      </c>
    </row>
    <row r="8" spans="1:12" x14ac:dyDescent="0.25">
      <c r="B8" t="s">
        <v>70</v>
      </c>
      <c r="C8" s="30">
        <f>[46]NPP_2020_CROP_Arid!$E$2</f>
        <v>0.97599038751874501</v>
      </c>
      <c r="D8" s="30">
        <f>[47]NPP_2020_CROP_SArid!$E$2</f>
        <v>0.71416468993051396</v>
      </c>
      <c r="E8" s="14">
        <f>[48]filtered!$F$2</f>
        <v>1.0193612610195171</v>
      </c>
    </row>
    <row r="9" spans="1:12" x14ac:dyDescent="0.25">
      <c r="B9" t="s">
        <v>71</v>
      </c>
      <c r="C9" s="15">
        <f>[49]NPP_2020_SHRUB_Arid!$E$2</f>
        <v>0.20100553202445001</v>
      </c>
      <c r="D9" s="15">
        <f>[50]NPP_2020_SHRUB_SArid!$E$2</f>
        <v>0.48842843619779902</v>
      </c>
      <c r="E9" s="14">
        <f>[51]filtered!$F$2</f>
        <v>0.9284507277249876</v>
      </c>
      <c r="L9" s="11"/>
    </row>
    <row r="10" spans="1:12" x14ac:dyDescent="0.25">
      <c r="C10" s="12"/>
      <c r="D10" s="12"/>
      <c r="E10" s="12"/>
      <c r="L10" s="11"/>
    </row>
    <row r="11" spans="1:12" x14ac:dyDescent="0.25">
      <c r="A11" t="s">
        <v>66</v>
      </c>
      <c r="B11" t="s">
        <v>69</v>
      </c>
      <c r="C11" s="15">
        <f>[52]NPP_2050_R4_GRASS_Arid!$E$2</f>
        <v>0.36084903504638699</v>
      </c>
      <c r="D11" s="15">
        <f>[53]NPP_2050_R4_GRASS_SArid!$E$2</f>
        <v>0.51075241024303597</v>
      </c>
      <c r="E11" s="15">
        <f>[54]filtered!$F$2</f>
        <v>0.90483097904137921</v>
      </c>
      <c r="F11">
        <f>C11/C7</f>
        <v>1.0838480551464114</v>
      </c>
      <c r="G11">
        <f t="shared" ref="G11:H13" si="0">D11/D7</f>
        <v>1.0622792745227487</v>
      </c>
      <c r="H11">
        <f t="shared" si="0"/>
        <v>1.0211713065805335</v>
      </c>
    </row>
    <row r="12" spans="1:12" x14ac:dyDescent="0.25">
      <c r="B12" t="s">
        <v>70</v>
      </c>
      <c r="C12" s="15">
        <f>[55]NPP_2050_R4_CROP_Arid!$E$2</f>
        <v>1.0384816436740301</v>
      </c>
      <c r="D12" s="15">
        <f>[56]NPP_2050_R4_CROP_SArid!$E$2</f>
        <v>0.72447113600000002</v>
      </c>
      <c r="E12" s="15">
        <f>[57]filtered!$F$2</f>
        <v>0.98649141647533578</v>
      </c>
      <c r="F12">
        <f t="shared" ref="F12:F13" si="1">C12/C8</f>
        <v>1.0640285569965051</v>
      </c>
      <c r="G12">
        <f t="shared" si="0"/>
        <v>1.0144314696803183</v>
      </c>
      <c r="H12">
        <f t="shared" si="0"/>
        <v>0.96775446958686029</v>
      </c>
    </row>
    <row r="13" spans="1:12" x14ac:dyDescent="0.25">
      <c r="B13" t="s">
        <v>71</v>
      </c>
      <c r="C13" s="15">
        <f>[58]NPP_2050_R4_SHRUB_Arid!$E$2</f>
        <v>0.21776707800273001</v>
      </c>
      <c r="D13" s="15">
        <f>[59]NPP_2050_R4_SHRUB_SArid!$E$2</f>
        <v>0.51075241024303597</v>
      </c>
      <c r="E13" s="15">
        <f>[60]filtered!$F$2</f>
        <v>0.90483097904137921</v>
      </c>
      <c r="F13">
        <f t="shared" si="1"/>
        <v>1.0833884809510672</v>
      </c>
      <c r="G13">
        <f t="shared" si="0"/>
        <v>1.0457057214338692</v>
      </c>
      <c r="H13">
        <f t="shared" si="0"/>
        <v>0.9745600407449897</v>
      </c>
    </row>
    <row r="14" spans="1:12" x14ac:dyDescent="0.25">
      <c r="C14" s="12"/>
      <c r="D14" s="12"/>
      <c r="E14" s="12"/>
    </row>
    <row r="15" spans="1:12" x14ac:dyDescent="0.25">
      <c r="A15" t="s">
        <v>67</v>
      </c>
      <c r="B15" t="s">
        <v>69</v>
      </c>
      <c r="C15" s="15">
        <f>[61]NPP_2050_R8_GRASS_Arid!$E$2</f>
        <v>0.38422689204237098</v>
      </c>
      <c r="D15" s="15">
        <f>[62]NPP_2050_R8_GRASS_SArid!$E$2</f>
        <v>0.51337712420869996</v>
      </c>
      <c r="E15" s="15">
        <f>[63]filtered!$F$2</f>
        <v>0.88457459938562355</v>
      </c>
      <c r="F15">
        <f>C15/C7</f>
        <v>1.1540659090900447</v>
      </c>
      <c r="G15">
        <f t="shared" ref="G15:H17" si="2">D15/D7</f>
        <v>1.0677382389668881</v>
      </c>
      <c r="H15">
        <f t="shared" si="2"/>
        <v>0.9983104252018099</v>
      </c>
      <c r="K15" t="s">
        <v>84</v>
      </c>
      <c r="L15">
        <f>35.105</f>
        <v>35.104999999999997</v>
      </c>
    </row>
    <row r="16" spans="1:12" x14ac:dyDescent="0.25">
      <c r="B16" t="s">
        <v>70</v>
      </c>
      <c r="C16" s="15">
        <f>[64]NPP_2050_R8_CROP_Arid!$E$2</f>
        <v>1.10532849796393</v>
      </c>
      <c r="D16" s="15">
        <f>[65]NPP_2050_R8_CROP_SArid!$E$2</f>
        <v>0.80695680840268103</v>
      </c>
      <c r="E16" s="15">
        <f>[66]filtered!$F$2</f>
        <v>1.0242825546815273</v>
      </c>
      <c r="F16">
        <f>C16/C8</f>
        <v>1.1325198609527298</v>
      </c>
      <c r="G16">
        <f t="shared" si="2"/>
        <v>1.1299309805994404</v>
      </c>
      <c r="H16">
        <f>E16/E12</f>
        <v>1.0383086335826586</v>
      </c>
      <c r="K16" t="s">
        <v>83</v>
      </c>
      <c r="L16">
        <f>L15</f>
        <v>35.104999999999997</v>
      </c>
    </row>
    <row r="17" spans="1:8" x14ac:dyDescent="0.25">
      <c r="B17" t="s">
        <v>71</v>
      </c>
      <c r="C17" s="15">
        <f>[67]NPP_2050_R8_SHRUB_Arid!$E$2</f>
        <v>0.231319877140652</v>
      </c>
      <c r="D17" s="15">
        <f>[68]NPP_2050_R8_SHRUB_SArid!$E$2</f>
        <v>0.51046846997934603</v>
      </c>
      <c r="E17" s="15">
        <f>[69]filtered!$F$2</f>
        <v>0.93416975929597834</v>
      </c>
      <c r="F17">
        <f t="shared" ref="F17" si="3">C17/C9</f>
        <v>1.1508134866283908</v>
      </c>
      <c r="G17">
        <f t="shared" si="2"/>
        <v>1.0451243870097306</v>
      </c>
      <c r="H17">
        <f t="shared" si="2"/>
        <v>1.0061597577558092</v>
      </c>
    </row>
    <row r="20" spans="1:8" x14ac:dyDescent="0.25">
      <c r="A20" s="16">
        <v>2020</v>
      </c>
      <c r="B20" t="s">
        <v>72</v>
      </c>
      <c r="C20" s="14">
        <f>10000*(1/1000)*(C2*C7+C3*C8*[70]Raster_logic!$I$95+C4*C9*[70]Raster_logic!$I$96)*(1/[70]Raster_logic!$I$89)*[70]Raster_logic!$I$90*[70]Raster_logic!$I$91/1000000</f>
        <v>11.151655030703209</v>
      </c>
      <c r="D20" s="14">
        <f>10000*(1/1000)*(D2*D7+D3*D8*[70]Raster_logic!$I$95+D4*D9*[70]Raster_logic!$I$96)*(1/[70]Raster_logic!$I$89)*[70]Raster_logic!$I$90*[70]Raster_logic!$I$91/1000000</f>
        <v>16.992868124083202</v>
      </c>
      <c r="E20" s="14">
        <f>10000*(1/1000)*(E2*E7+E3*E8*[70]Raster_logic!$I$95+E4*E9*[70]Raster_logic!$I$96)*(1/[70]Raster_logic!$I$89)*[70]Raster_logic!$I$90*[70]Raster_logic!$I$91/1000000</f>
        <v>11.163200176118997</v>
      </c>
    </row>
    <row r="21" spans="1:8" x14ac:dyDescent="0.25">
      <c r="B21" t="s">
        <v>73</v>
      </c>
      <c r="C21" s="14">
        <f>10000*(1/1000)*(C3*C8*[70]Raster_logic!$I$102)*(1/[70]Raster_logic!$I$98)*[70]Raster_logic!$I$99*[70]Raster_logic!$I$100/1000000</f>
        <v>6.2836769443752702E-2</v>
      </c>
      <c r="D21" s="14">
        <f>10000*(1/1000)*(D3*D8*[70]Raster_logic!$I$102)*(1/[70]Raster_logic!$I$98)*[70]Raster_logic!$I$99*[70]Raster_logic!$I$100/1000000</f>
        <v>1.7156416625428113</v>
      </c>
      <c r="E21" s="14">
        <f>10000*(1/1000)*(E3*E8*[70]Raster_logic!$I$102)*(1/[70]Raster_logic!$I$98)*[70]Raster_logic!$I$99*[70]Raster_logic!$I$100/1000000</f>
        <v>3.3915310709324049</v>
      </c>
    </row>
    <row r="22" spans="1:8" x14ac:dyDescent="0.25">
      <c r="B22" t="s">
        <v>74</v>
      </c>
      <c r="C22" s="14">
        <f>SUM(C20:C21)</f>
        <v>11.214491800146961</v>
      </c>
      <c r="D22" s="14">
        <f>SUM(D20:D21)</f>
        <v>18.708509786626013</v>
      </c>
      <c r="E22" s="14">
        <f>SUM(E20:E21)</f>
        <v>14.554731247051402</v>
      </c>
    </row>
    <row r="23" spans="1:8" x14ac:dyDescent="0.25">
      <c r="C23" s="14"/>
      <c r="D23" s="14"/>
      <c r="E23" s="14"/>
    </row>
    <row r="24" spans="1:8" x14ac:dyDescent="0.25">
      <c r="A24" t="s">
        <v>66</v>
      </c>
      <c r="B24" t="str">
        <f>B20</f>
        <v>BIOM GRASS Supply (MT/ha/yr)</v>
      </c>
      <c r="C24" s="14">
        <f>10000*(1/1000)*(C2*C11+C3*C12*[70]Raster_logic!$I$95+C4*C13*[70]Raster_logic!$I$96)*(1/[70]Raster_logic!$I$89)*[70]Raster_logic!$I$90*[70]Raster_logic!$I$91/1000000</f>
        <v>12.08499856893739</v>
      </c>
      <c r="D24" s="14">
        <f>10000*(1/1000)*(D2*D11+D3*D12*[70]Raster_logic!$I$95+D4*D13*[70]Raster_logic!$I$96)*(1/[70]Raster_logic!$I$89)*[70]Raster_logic!$I$90*[70]Raster_logic!$I$91/1000000</f>
        <v>17.87942136414706</v>
      </c>
      <c r="E24" s="14">
        <f>10000*(1/1000)*(E2*E11+E3*E12*[70]Raster_logic!$I$95+E4*E13*[70]Raster_logic!$I$96)*(1/[70]Raster_logic!$I$89)*[70]Raster_logic!$I$90*[70]Raster_logic!$I$91/1000000</f>
        <v>11.201390164452167</v>
      </c>
      <c r="F24" s="13">
        <f>C24/C20</f>
        <v>1.0836955174513971</v>
      </c>
      <c r="G24" s="13">
        <f t="shared" ref="G24:H26" si="4">D24/D20</f>
        <v>1.0521720779323525</v>
      </c>
      <c r="H24" s="13">
        <f t="shared" si="4"/>
        <v>1.0034210609619694</v>
      </c>
    </row>
    <row r="25" spans="1:8" x14ac:dyDescent="0.25">
      <c r="B25" t="str">
        <f t="shared" ref="B25:B26" si="5">B21</f>
        <v>BIOM CROP Supply (MT/ha/yr)</v>
      </c>
      <c r="C25" s="14">
        <f>10000*(1/1000)*(C3*C12*[70]Raster_logic!$I$102)*(1/[70]Raster_logic!$I$98)*[70]Raster_logic!$I$99*[70]Raster_logic!$I$100/1000000</f>
        <v>6.6860117117558279E-2</v>
      </c>
      <c r="D25" s="14">
        <f>10000*(1/1000)*(D3*D12*[70]Raster_logic!$I$102)*(1/[70]Raster_logic!$I$98)*[70]Raster_logic!$I$99*[70]Raster_logic!$I$100/1000000</f>
        <v>1.7404008931780892</v>
      </c>
      <c r="E25" s="14">
        <f>10000*(1/1000)*(E3*E12*[70]Raster_logic!$I$102)*(1/[70]Raster_logic!$I$98)*[70]Raster_logic!$I$99*[70]Raster_logic!$I$100/1000000</f>
        <v>3.2821693526375455</v>
      </c>
      <c r="F25" s="13">
        <f t="shared" ref="F25:F26" si="6">C25/C21</f>
        <v>1.0640285569965051</v>
      </c>
      <c r="G25" s="13">
        <f t="shared" si="4"/>
        <v>1.0144314696803185</v>
      </c>
      <c r="H25" s="13">
        <f t="shared" si="4"/>
        <v>0.96775446958686018</v>
      </c>
    </row>
    <row r="26" spans="1:8" x14ac:dyDescent="0.25">
      <c r="B26" t="str">
        <f t="shared" si="5"/>
        <v>BIOM Total (MT/ha/yr)</v>
      </c>
      <c r="C26" s="14">
        <f>SUM(C24:C25)</f>
        <v>12.151858686054949</v>
      </c>
      <c r="D26" s="14">
        <f t="shared" ref="D26:E26" si="7">SUM(D24:D25)</f>
        <v>19.619822257325151</v>
      </c>
      <c r="E26" s="14">
        <f t="shared" si="7"/>
        <v>14.483559517089713</v>
      </c>
      <c r="F26" s="13">
        <f t="shared" si="6"/>
        <v>1.0835853200138506</v>
      </c>
      <c r="G26" s="13">
        <f t="shared" si="4"/>
        <v>1.0487111202919326</v>
      </c>
      <c r="H26" s="13">
        <f t="shared" si="4"/>
        <v>0.99511006223655918</v>
      </c>
    </row>
    <row r="27" spans="1:8" x14ac:dyDescent="0.25">
      <c r="C27" s="14"/>
      <c r="D27" s="14"/>
      <c r="E27" s="14"/>
    </row>
    <row r="28" spans="1:8" x14ac:dyDescent="0.25">
      <c r="A28" t="s">
        <v>67</v>
      </c>
      <c r="B28" t="str">
        <f>B24</f>
        <v>BIOM GRASS Supply (MT/ha/yr)</v>
      </c>
      <c r="C28" s="14">
        <f>10000*(1/1000)*(C2*C15+C3*C16*[70]Raster_logic!$I$95+C4*C17*[70]Raster_logic!$I$96)*(1/[70]Raster_logic!$I$89)*[70]Raster_logic!$I$90*[70]Raster_logic!$I91/1000000</f>
        <v>12.860266920421276</v>
      </c>
      <c r="D28" s="14">
        <f>10000*(1/1000)*(D2*D15+D3*D16*[70]Raster_logic!$I$95+D4*D17*[70]Raster_logic!$I$96)*(1/[70]Raster_logic!$I$89)*[70]Raster_logic!$I$90*[70]Raster_logic!$I91/1000000</f>
        <v>17.984655853761279</v>
      </c>
      <c r="E28" s="14">
        <f>10000*(1/1000)*(E2*E15+E3*E16*[70]Raster_logic!$I$95+E4*E17*[70]Raster_logic!$I$96)*(1/[70]Raster_logic!$I$89)*[70]Raster_logic!$I$90*[70]Raster_logic!$I91/1000000</f>
        <v>11.174822947286316</v>
      </c>
      <c r="F28" s="13">
        <f>C28/C20</f>
        <v>1.153215992156666</v>
      </c>
      <c r="G28" s="13">
        <f t="shared" ref="G28:H28" si="8">D28/D20</f>
        <v>1.0583649400699144</v>
      </c>
      <c r="H28" s="13">
        <f t="shared" si="8"/>
        <v>1.0010411683911378</v>
      </c>
    </row>
    <row r="29" spans="1:8" x14ac:dyDescent="0.25">
      <c r="B29" t="str">
        <f t="shared" ref="B29:B30" si="9">B25</f>
        <v>BIOM CROP Supply (MT/ha/yr)</v>
      </c>
      <c r="C29" s="14">
        <f>10000*(1/1000)*(C3*C16*[70]Raster_logic!$I$102)*(1/[70]Raster_logic!$I$98)*[70]Raster_logic!$I$99*[70]Raster_logic!$I$100/1000000</f>
        <v>7.1163889393157556E-2</v>
      </c>
      <c r="D29" s="14">
        <f>10000*(1/1000)*(D3*D16*[70]Raster_logic!$I$102)*(1/[70]Raster_logic!$I$98)*[70]Raster_logic!$I$99*[70]Raster_logic!$I$100/1000000</f>
        <v>1.9385566661142535</v>
      </c>
      <c r="E29" s="14">
        <f>10000*(1/1000)*(E3*E16*[70]Raster_logic!$I$102)*(1/[70]Raster_logic!$I$98)*[70]Raster_logic!$I$99*[70]Raster_logic!$I$100/1000000</f>
        <v>3.4079047757239689</v>
      </c>
      <c r="F29" s="13">
        <f t="shared" ref="F29:F30" si="10">C29/C21</f>
        <v>1.1325198609527298</v>
      </c>
      <c r="G29" s="13">
        <f t="shared" ref="G29:G30" si="11">D29/D21</f>
        <v>1.1299309805994406</v>
      </c>
      <c r="H29" s="13">
        <f t="shared" ref="H29:H30" si="12">E29/E21</f>
        <v>1.0048278209602433</v>
      </c>
    </row>
    <row r="30" spans="1:8" x14ac:dyDescent="0.25">
      <c r="B30" t="str">
        <f t="shared" si="9"/>
        <v>BIOM Total (MT/ha/yr)</v>
      </c>
      <c r="C30" s="14">
        <f>SUM(C28:C29)</f>
        <v>12.931430809814433</v>
      </c>
      <c r="D30" s="14">
        <f>SUM(D28:D29)</f>
        <v>19.923212519875531</v>
      </c>
      <c r="E30" s="14">
        <f t="shared" ref="E30" si="13">SUM(E28:E29)</f>
        <v>14.582727723010285</v>
      </c>
      <c r="F30" s="13">
        <f t="shared" si="10"/>
        <v>1.1531000280944494</v>
      </c>
      <c r="G30" s="13">
        <f t="shared" si="11"/>
        <v>1.0649278187896003</v>
      </c>
      <c r="H30" s="13">
        <f t="shared" si="12"/>
        <v>1.0019235309456198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F49F-D7A7-4FDA-92DD-326744451984}">
  <dimension ref="A1:K338"/>
  <sheetViews>
    <sheetView workbookViewId="0">
      <selection activeCell="I4" sqref="I4"/>
    </sheetView>
  </sheetViews>
  <sheetFormatPr defaultRowHeight="15" x14ac:dyDescent="0.25"/>
  <cols>
    <col min="1" max="1" width="33.5703125" customWidth="1"/>
    <col min="2" max="2" width="27.5703125" customWidth="1"/>
    <col min="3" max="3" width="13.7109375" customWidth="1"/>
    <col min="4" max="4" width="17" customWidth="1"/>
    <col min="5" max="5" width="16.5703125" customWidth="1"/>
    <col min="6" max="6" width="11.28515625" customWidth="1"/>
    <col min="7" max="7" width="16.42578125" customWidth="1"/>
    <col min="8" max="8" width="35.140625" customWidth="1"/>
  </cols>
  <sheetData>
    <row r="1" spans="1:9" x14ac:dyDescent="0.25">
      <c r="A1" s="1" t="s">
        <v>65</v>
      </c>
      <c r="B1" s="1"/>
      <c r="C1" s="2" t="s">
        <v>0</v>
      </c>
      <c r="D1" s="2" t="s">
        <v>58</v>
      </c>
      <c r="E1" s="2" t="s">
        <v>2</v>
      </c>
      <c r="H1" t="s">
        <v>116</v>
      </c>
      <c r="I1" s="35">
        <v>195.24959913167186</v>
      </c>
    </row>
    <row r="2" spans="1:9" x14ac:dyDescent="0.25">
      <c r="A2">
        <v>2020</v>
      </c>
      <c r="B2" t="s">
        <v>13</v>
      </c>
      <c r="C2">
        <f>Herd_decision_tree!B10</f>
        <v>4.2982451621579507</v>
      </c>
      <c r="D2">
        <f>Herd_decision_tree!C10</f>
        <v>4.2319457911172034</v>
      </c>
      <c r="E2">
        <v>0</v>
      </c>
      <c r="H2" t="s">
        <v>117</v>
      </c>
      <c r="I2" s="35">
        <v>193.39196223478999</v>
      </c>
    </row>
    <row r="3" spans="1:9" x14ac:dyDescent="0.25">
      <c r="B3" t="s">
        <v>16</v>
      </c>
      <c r="C3">
        <v>0</v>
      </c>
      <c r="D3">
        <f>Herd_decision_tree!C14</f>
        <v>3.0046236191379312</v>
      </c>
      <c r="E3">
        <f>Herd_decision_tree!D14</f>
        <v>2.516565067676801</v>
      </c>
      <c r="H3" t="s">
        <v>118</v>
      </c>
      <c r="I3" s="35">
        <v>197.10723602855413</v>
      </c>
    </row>
    <row r="4" spans="1:9" x14ac:dyDescent="0.25">
      <c r="B4" t="s">
        <v>11</v>
      </c>
      <c r="C4">
        <v>0</v>
      </c>
      <c r="D4">
        <v>0</v>
      </c>
      <c r="E4">
        <f>Herd_decision_tree!D18</f>
        <v>0.94977299158226114</v>
      </c>
      <c r="H4" t="s">
        <v>61</v>
      </c>
      <c r="I4">
        <v>201</v>
      </c>
    </row>
    <row r="5" spans="1:9" x14ac:dyDescent="0.25">
      <c r="B5" t="s">
        <v>22</v>
      </c>
      <c r="C5">
        <f>Herd_decision_tree!B29</f>
        <v>6.4335272104918989E-2</v>
      </c>
      <c r="D5">
        <f>Herd_decision_tree!C29</f>
        <v>0.29733782057129532</v>
      </c>
      <c r="E5">
        <f>Herd_decision_tree!D29</f>
        <v>0.4821124776234319</v>
      </c>
      <c r="H5" t="s">
        <v>81</v>
      </c>
      <c r="I5">
        <v>28</v>
      </c>
    </row>
    <row r="6" spans="1:9" x14ac:dyDescent="0.25">
      <c r="B6" t="s">
        <v>23</v>
      </c>
      <c r="C6">
        <f>Herd_decision_tree!B25</f>
        <v>0.2050232235499376</v>
      </c>
      <c r="D6">
        <f>Herd_decision_tree!C25</f>
        <v>0.27325052132531091</v>
      </c>
      <c r="E6">
        <f>Herd_decision_tree!D25</f>
        <v>0.23731826822584226</v>
      </c>
      <c r="H6" t="s">
        <v>91</v>
      </c>
      <c r="I6">
        <f>0.06</f>
        <v>0.06</v>
      </c>
    </row>
    <row r="7" spans="1:9" x14ac:dyDescent="0.25">
      <c r="B7" t="s">
        <v>60</v>
      </c>
      <c r="C7">
        <f>Herd_decision_tree!B35</f>
        <v>3.0271361942572905E-2</v>
      </c>
      <c r="D7">
        <f>Herd_decision_tree!C35</f>
        <v>1.4765740788097195</v>
      </c>
      <c r="E7">
        <f>Herd_decision_tree!D35</f>
        <v>6.3853780054327789</v>
      </c>
      <c r="H7" t="s">
        <v>92</v>
      </c>
      <c r="I7">
        <f>0.0825</f>
        <v>8.2500000000000004E-2</v>
      </c>
    </row>
    <row r="8" spans="1:9" x14ac:dyDescent="0.25">
      <c r="B8" t="s">
        <v>80</v>
      </c>
      <c r="C8">
        <f>Herd_decision_tree!B5</f>
        <v>11.794047385286973</v>
      </c>
      <c r="D8">
        <f>Herd_decision_tree!C5</f>
        <v>9.6481198260451801</v>
      </c>
      <c r="E8">
        <f>Herd_decision_tree!D5</f>
        <v>9.0810136627013929</v>
      </c>
      <c r="H8" t="s">
        <v>93</v>
      </c>
      <c r="I8">
        <v>0.12</v>
      </c>
    </row>
    <row r="9" spans="1:9" x14ac:dyDescent="0.25">
      <c r="H9" t="s">
        <v>62</v>
      </c>
      <c r="I9">
        <f>0.02</f>
        <v>0.02</v>
      </c>
    </row>
    <row r="10" spans="1:9" x14ac:dyDescent="0.25">
      <c r="B10" t="s">
        <v>122</v>
      </c>
      <c r="C10">
        <f>SUM(C2:C6)*$I1*1000000</f>
        <v>891822783.1803087</v>
      </c>
      <c r="D10">
        <f>SUM(D2:D6)*$I1*1000000</f>
        <v>1524344421.4653516</v>
      </c>
      <c r="E10">
        <f>SUM(E2:E6)*$I1*1000000</f>
        <v>817269681.25525963</v>
      </c>
    </row>
    <row r="11" spans="1:9" x14ac:dyDescent="0.25">
      <c r="B11" t="s">
        <v>120</v>
      </c>
      <c r="C11">
        <f>SUM(C2:C6)*$I2*1000000</f>
        <v>883337834.09522295</v>
      </c>
      <c r="D11">
        <f t="shared" ref="D11:E11" si="0">SUM(D2:D6)*$I2*1000000</f>
        <v>1509841557.1651771</v>
      </c>
      <c r="E11">
        <f t="shared" si="0"/>
        <v>809494042.68107331</v>
      </c>
    </row>
    <row r="12" spans="1:9" x14ac:dyDescent="0.25">
      <c r="B12" t="s">
        <v>121</v>
      </c>
      <c r="C12">
        <f>SUM(C2:C6)*$I3*1000000</f>
        <v>900307732.26539612</v>
      </c>
      <c r="D12">
        <f t="shared" ref="D12:E12" si="1">SUM(D2:D6)*$I3*1000000</f>
        <v>1538847285.7655289</v>
      </c>
      <c r="E12">
        <f t="shared" si="1"/>
        <v>825045319.82944775</v>
      </c>
    </row>
    <row r="13" spans="1:9" x14ac:dyDescent="0.25">
      <c r="B13" t="s">
        <v>63</v>
      </c>
      <c r="C13">
        <f>C7*$I$4*1000000</f>
        <v>6084543.7504571546</v>
      </c>
      <c r="D13">
        <f>D7*$I$4*1000000</f>
        <v>296791389.84075361</v>
      </c>
      <c r="E13">
        <f>E7*$I$4*1000000</f>
        <v>1283460979.0919886</v>
      </c>
    </row>
    <row r="14" spans="1:9" x14ac:dyDescent="0.25">
      <c r="B14" t="s">
        <v>82</v>
      </c>
      <c r="C14">
        <f>C8*$I$5*1000000</f>
        <v>330233326.78803521</v>
      </c>
      <c r="D14">
        <f>D8*$I$5*1000000</f>
        <v>270147355.12926507</v>
      </c>
      <c r="E14">
        <f>E8*$I$5*1000000</f>
        <v>254268382.555639</v>
      </c>
    </row>
    <row r="16" spans="1:9" x14ac:dyDescent="0.25">
      <c r="B16" s="24" t="s">
        <v>119</v>
      </c>
      <c r="C16" s="25">
        <f>365*(C10+C$13+C$14)*(1-$I$6)*($I$9)/1000/1000000</f>
        <v>8.4275011658184127</v>
      </c>
      <c r="D16" s="25">
        <f>365*(D10+D$13+D$14)*(1-$I$7)*($I$9)/1000/1000000</f>
        <v>14.006891827992501</v>
      </c>
      <c r="E16" s="25">
        <f>365*(E10+E$13+E$14)*(1-$I$8)*($I$9)/1000/1000000</f>
        <v>15.128513851608144</v>
      </c>
    </row>
    <row r="17" spans="2:5" x14ac:dyDescent="0.25">
      <c r="B17" s="24" t="s">
        <v>124</v>
      </c>
      <c r="C17" s="25">
        <f t="shared" ref="C17:C18" si="2">365*(C11+C$13+C$14)*(1-$I$6)*($I$9)/1000/1000000</f>
        <v>8.3692774451965537</v>
      </c>
      <c r="D17" s="25">
        <f>365*(D11+D$13+D$14)*(1-$I$7)*($I$9)/1000/1000000</f>
        <v>13.909755268626006</v>
      </c>
      <c r="E17" s="25">
        <f>365*(E11+E$13+E$14)*(1-$I$8)*($I$9)/1000/1000000</f>
        <v>15.078563149407573</v>
      </c>
    </row>
    <row r="18" spans="2:5" x14ac:dyDescent="0.25">
      <c r="B18" s="24" t="s">
        <v>123</v>
      </c>
      <c r="C18" s="25">
        <f t="shared" si="2"/>
        <v>8.4857248864402823</v>
      </c>
      <c r="D18" s="25">
        <f t="shared" ref="D18" si="3">365*(D12+D$13+D$14)*(1-$I$7)*($I$9)/1000/1000000</f>
        <v>14.104028387359014</v>
      </c>
      <c r="E18" s="25">
        <f t="shared" ref="E18" si="4">365*(E12+E$13+E$14)*(1-$I$8)*($I$9)/1000/1000000</f>
        <v>15.178464553808732</v>
      </c>
    </row>
    <row r="19" spans="2:5" x14ac:dyDescent="0.25">
      <c r="B19" s="1"/>
    </row>
    <row r="20" spans="2:5" x14ac:dyDescent="0.25">
      <c r="B20" s="18" t="s">
        <v>75</v>
      </c>
      <c r="C20" s="19">
        <f>NPP!C22</f>
        <v>11.214491800146961</v>
      </c>
      <c r="D20" s="19">
        <f>NPP!D22</f>
        <v>18.708509786626013</v>
      </c>
      <c r="E20" s="19">
        <f>NPP!E22</f>
        <v>14.554731247051402</v>
      </c>
    </row>
    <row r="21" spans="2:5" x14ac:dyDescent="0.25">
      <c r="B21" s="1"/>
    </row>
    <row r="22" spans="2:5" x14ac:dyDescent="0.25">
      <c r="B22" s="17" t="s">
        <v>125</v>
      </c>
      <c r="C22" s="6">
        <f>C$20/C16</f>
        <v>1.3307018984028698</v>
      </c>
      <c r="D22" s="6">
        <f t="shared" ref="D22:E22" si="5">D$20/D16</f>
        <v>1.3356646154172063</v>
      </c>
      <c r="E22" s="6">
        <f t="shared" si="5"/>
        <v>0.96207277131218349</v>
      </c>
    </row>
    <row r="23" spans="2:5" x14ac:dyDescent="0.25">
      <c r="B23" s="17" t="s">
        <v>126</v>
      </c>
      <c r="C23" s="6">
        <f t="shared" ref="C23:E24" si="6">C$20/C17</f>
        <v>1.3399593780444432</v>
      </c>
      <c r="D23" s="6">
        <f t="shared" si="6"/>
        <v>1.3449920164176996</v>
      </c>
      <c r="E23" s="6">
        <f t="shared" si="6"/>
        <v>0.96525982633983576</v>
      </c>
    </row>
    <row r="24" spans="2:5" x14ac:dyDescent="0.25">
      <c r="B24" s="17" t="s">
        <v>127</v>
      </c>
      <c r="C24" s="6">
        <f t="shared" si="6"/>
        <v>1.321571456796472</v>
      </c>
      <c r="D24" s="6">
        <f t="shared" si="6"/>
        <v>1.3264656928366543</v>
      </c>
      <c r="E24" s="6">
        <f t="shared" si="6"/>
        <v>0.95890669279846119</v>
      </c>
    </row>
    <row r="25" spans="2:5" x14ac:dyDescent="0.25">
      <c r="B25" s="1"/>
    </row>
    <row r="26" spans="2:5" ht="15.75" x14ac:dyDescent="0.25">
      <c r="B26" s="43">
        <v>2050</v>
      </c>
      <c r="C26" s="43"/>
      <c r="D26" s="43"/>
      <c r="E26" s="43"/>
    </row>
    <row r="27" spans="2:5" ht="15.75" x14ac:dyDescent="0.25">
      <c r="B27" s="44" t="s">
        <v>136</v>
      </c>
      <c r="C27" s="44"/>
      <c r="D27" s="44"/>
      <c r="E27" s="44"/>
    </row>
    <row r="28" spans="2:5" x14ac:dyDescent="0.25">
      <c r="B28" t="s">
        <v>13</v>
      </c>
      <c r="C28">
        <f>C2+C2*30*Validate_2020!$G2/100</f>
        <v>4.7922683920772853</v>
      </c>
      <c r="D28">
        <f>D2+D2*30*Validate_2020!$G2/100</f>
        <v>4.718348834614523</v>
      </c>
      <c r="E28">
        <f>E2+E2*30*Validate_2020!$G2/100</f>
        <v>0</v>
      </c>
    </row>
    <row r="29" spans="2:5" x14ac:dyDescent="0.25">
      <c r="B29" t="s">
        <v>16</v>
      </c>
      <c r="C29">
        <f>C3+C3*30*Validate_2020!$G3/100</f>
        <v>0</v>
      </c>
      <c r="D29">
        <f>D3+D3*30*Validate_2020!$G3/100</f>
        <v>5.5240387862072353</v>
      </c>
      <c r="E29">
        <f>E3+E3*30*Validate_2020!$G3/100</f>
        <v>4.6267369241573926</v>
      </c>
    </row>
    <row r="30" spans="2:5" x14ac:dyDescent="0.25">
      <c r="B30" t="s">
        <v>59</v>
      </c>
      <c r="C30">
        <f>C4+C4*30*Validate_2020!$G4/100</f>
        <v>0</v>
      </c>
      <c r="D30">
        <f>D4+D4*30*Validate_2020!$G4/100</f>
        <v>0</v>
      </c>
      <c r="E30">
        <f>E4+E4*30*Validate_2020!$G4/100</f>
        <v>1.3357385547458354</v>
      </c>
    </row>
    <row r="31" spans="2:5" x14ac:dyDescent="0.25">
      <c r="B31" t="s">
        <v>22</v>
      </c>
      <c r="C31">
        <f>C5+C5*30*Validate_2020!$G5/100</f>
        <v>8.4354492414162402E-2</v>
      </c>
      <c r="D31">
        <f>D5+D5*30*Validate_2020!$G5/100</f>
        <v>0.38986049346183138</v>
      </c>
      <c r="E31">
        <f>E5+E5*30*Validate_2020!$G5/100</f>
        <v>0.63213151986263816</v>
      </c>
    </row>
    <row r="32" spans="2:5" x14ac:dyDescent="0.25">
      <c r="B32" t="s">
        <v>23</v>
      </c>
      <c r="C32">
        <f>C6+C6*30*Validate_2020!$G6/100</f>
        <v>5.5233194107263959</v>
      </c>
      <c r="D32">
        <f>D6+D6*30*Validate_2020!$G6/100</f>
        <v>7.3613607390169049</v>
      </c>
      <c r="E32">
        <f>E6+E6*30*Validate_2020!$G6/100</f>
        <v>6.3933469326829684</v>
      </c>
    </row>
    <row r="33" spans="1:5" x14ac:dyDescent="0.25">
      <c r="B33" t="s">
        <v>60</v>
      </c>
      <c r="C33">
        <f>C7+C7*30*Validate_2020!G8/100</f>
        <v>3.0271361942572905E-2</v>
      </c>
      <c r="D33">
        <f>D7+D7*30*Validate_2020!H8/100</f>
        <v>1.5191844054356305</v>
      </c>
      <c r="E33">
        <f>E7+E7*30*Validate_2020!I8/100</f>
        <v>6.3853780054327789</v>
      </c>
    </row>
    <row r="34" spans="1:5" x14ac:dyDescent="0.25">
      <c r="B34" t="s">
        <v>80</v>
      </c>
      <c r="C34">
        <f>C8+C8*30*1.35*Validate_2020!$G7/100</f>
        <v>22.673263960703252</v>
      </c>
      <c r="D34">
        <f>D8+D8*30*1*Validate_2020!$G7/100</f>
        <v>16.240521701214558</v>
      </c>
      <c r="E34">
        <f>E8+E8*30*0.65*Validate_2020!$G7/100</f>
        <v>13.114203566596995</v>
      </c>
    </row>
    <row r="36" spans="1:5" x14ac:dyDescent="0.25">
      <c r="B36" s="47" t="s">
        <v>131</v>
      </c>
      <c r="C36" s="47"/>
      <c r="D36" s="47"/>
      <c r="E36" s="47"/>
    </row>
    <row r="37" spans="1:5" x14ac:dyDescent="0.25">
      <c r="A37" t="s">
        <v>135</v>
      </c>
      <c r="B37" t="s">
        <v>132</v>
      </c>
      <c r="C37">
        <f>SUM(C$28:C$32)*$I1*1000000</f>
        <v>2030584564.1338036</v>
      </c>
      <c r="D37">
        <f t="shared" ref="D37" si="7">SUM(D$28:D$32)*$I1*1000000</f>
        <v>3513244915.5390234</v>
      </c>
      <c r="E37">
        <f>SUM(E$28:E$32)*$I1*1000000</f>
        <v>2535892798.6560063</v>
      </c>
    </row>
    <row r="38" spans="1:5" x14ac:dyDescent="0.25">
      <c r="B38" t="s">
        <v>133</v>
      </c>
      <c r="C38">
        <f>SUM(C$28:C$32)*$I2*1000000</f>
        <v>2011265247.6007645</v>
      </c>
      <c r="D38">
        <f>SUM(D$28:D$32)*$I2*1000000</f>
        <v>3479819323.8250723</v>
      </c>
      <c r="E38">
        <f>SUM(E$28:E$32)*$I2*1000000</f>
        <v>2511765896.2179451</v>
      </c>
    </row>
    <row r="39" spans="1:5" x14ac:dyDescent="0.25">
      <c r="B39" t="s">
        <v>134</v>
      </c>
      <c r="C39">
        <f>SUM(C$28:C$32)*$I3*1000000</f>
        <v>2049903880.6668463</v>
      </c>
      <c r="D39">
        <f>SUM(D$28:D$32)*$I3*1000000</f>
        <v>3546670507.2529821</v>
      </c>
      <c r="E39">
        <f>SUM(E$28:E$32)*$I3*1000000</f>
        <v>2560019701.0940733</v>
      </c>
    </row>
    <row r="40" spans="1:5" x14ac:dyDescent="0.25">
      <c r="B40" t="s">
        <v>60</v>
      </c>
      <c r="C40">
        <f>C33*$I4*1000000</f>
        <v>6084543.7504571546</v>
      </c>
      <c r="D40">
        <f t="shared" ref="D40:E41" si="8">D33*$I4*1000000</f>
        <v>305356065.49256176</v>
      </c>
      <c r="E40">
        <f t="shared" si="8"/>
        <v>1283460979.0919886</v>
      </c>
    </row>
    <row r="41" spans="1:5" x14ac:dyDescent="0.25">
      <c r="B41" t="s">
        <v>80</v>
      </c>
      <c r="C41">
        <f>C34*$I5*1000000</f>
        <v>634851390.8996911</v>
      </c>
      <c r="D41">
        <f t="shared" si="8"/>
        <v>454734607.63400757</v>
      </c>
      <c r="E41">
        <f>E34*$I5*1000000</f>
        <v>367197699.86471581</v>
      </c>
    </row>
    <row r="43" spans="1:5" ht="15.75" x14ac:dyDescent="0.25">
      <c r="B43" s="43" t="s">
        <v>137</v>
      </c>
      <c r="C43" s="43"/>
      <c r="D43" s="43"/>
      <c r="E43" s="43"/>
    </row>
    <row r="44" spans="1:5" x14ac:dyDescent="0.25">
      <c r="B44" s="46" t="s">
        <v>64</v>
      </c>
      <c r="C44" s="46"/>
      <c r="D44" s="46"/>
      <c r="E44" s="46"/>
    </row>
    <row r="45" spans="1:5" x14ac:dyDescent="0.25">
      <c r="A45" s="1"/>
      <c r="B45" s="24" t="s">
        <v>128</v>
      </c>
      <c r="C45" s="26">
        <f>365*(C37+C$40+C$41)*(1-$I$6)*($I$9)/1000/1000000</f>
        <v>18.331973662655475</v>
      </c>
      <c r="D45" s="26">
        <f>365*(D37+D$40+D$41)*(1-$I$7)*($I$9)/1000/1000000</f>
        <v>28.621733438984979</v>
      </c>
      <c r="E45" s="26">
        <f>365*(E37+E$40+E$41)*(1-$I$8)*($I$9)/1000/1000000</f>
        <v>26.894406692184052</v>
      </c>
    </row>
    <row r="46" spans="1:5" x14ac:dyDescent="0.25">
      <c r="B46" s="24" t="s">
        <v>129</v>
      </c>
      <c r="C46" s="26">
        <f t="shared" ref="C46:C47" si="9">365*(C38+C$40+C$41)*(1-$I$6)*($I$9)/1000/1000000</f>
        <v>18.199404512605764</v>
      </c>
      <c r="D46" s="26">
        <f t="shared" ref="D46" si="10">365*(D38+D$40+D$41)*(1-$I$7)*($I$9)/1000/1000000</f>
        <v>28.397857182082856</v>
      </c>
      <c r="E46" s="26">
        <f t="shared" ref="E46:E47" si="11">365*(E38+E$40+E$41)*(1-$I$8)*($I$9)/1000/1000000</f>
        <v>26.739415470921948</v>
      </c>
    </row>
    <row r="47" spans="1:5" x14ac:dyDescent="0.25">
      <c r="B47" s="24" t="s">
        <v>130</v>
      </c>
      <c r="C47" s="26">
        <f t="shared" si="9"/>
        <v>18.464542812705215</v>
      </c>
      <c r="D47" s="26">
        <f>365*(D39+D$40+D$41)*(1-$I$7)*($I$9)/1000/1000000</f>
        <v>28.845609695887145</v>
      </c>
      <c r="E47" s="26">
        <f t="shared" si="11"/>
        <v>27.049397913446196</v>
      </c>
    </row>
    <row r="48" spans="1:5" x14ac:dyDescent="0.25">
      <c r="C48" s="13"/>
      <c r="D48" s="13"/>
      <c r="E48" s="13"/>
    </row>
    <row r="49" spans="1:5" x14ac:dyDescent="0.25">
      <c r="B49" s="18" t="s">
        <v>75</v>
      </c>
      <c r="C49" s="27">
        <f>NPP!C26</f>
        <v>12.151858686054949</v>
      </c>
      <c r="D49" s="27">
        <f>NPP!D26</f>
        <v>19.619822257325151</v>
      </c>
      <c r="E49" s="27">
        <f>NPP!E26</f>
        <v>14.483559517089713</v>
      </c>
    </row>
    <row r="50" spans="1:5" x14ac:dyDescent="0.25">
      <c r="B50" s="1"/>
    </row>
    <row r="51" spans="1:5" x14ac:dyDescent="0.25">
      <c r="B51" s="45" t="s">
        <v>79</v>
      </c>
      <c r="C51" s="45"/>
      <c r="D51" s="45"/>
      <c r="E51" s="45"/>
    </row>
    <row r="52" spans="1:5" x14ac:dyDescent="0.25">
      <c r="A52" s="2">
        <v>2050</v>
      </c>
      <c r="B52" s="20" t="str">
        <f>B45</f>
        <v>BL</v>
      </c>
      <c r="C52" s="21">
        <f>C$49/C45</f>
        <v>0.66287781717741645</v>
      </c>
      <c r="D52" s="21">
        <f>D$49/D45</f>
        <v>0.68548686260216019</v>
      </c>
      <c r="E52" s="21">
        <f>E$49/E45</f>
        <v>0.53853426412633476</v>
      </c>
    </row>
    <row r="53" spans="1:5" x14ac:dyDescent="0.25">
      <c r="B53" s="20" t="str">
        <f t="shared" ref="B53:B54" si="12">B46</f>
        <v>WC</v>
      </c>
      <c r="C53" s="21">
        <f t="shared" ref="C53:E53" si="13">C$49/C46</f>
        <v>0.66770638993369258</v>
      </c>
      <c r="D53" s="21">
        <f t="shared" si="13"/>
        <v>0.69089094052152444</v>
      </c>
      <c r="E53" s="21">
        <f t="shared" si="13"/>
        <v>0.54165580144562275</v>
      </c>
    </row>
    <row r="54" spans="1:5" x14ac:dyDescent="0.25">
      <c r="B54" s="20" t="str">
        <f t="shared" si="12"/>
        <v>BC</v>
      </c>
      <c r="C54" s="21">
        <f t="shared" ref="C54:E54" si="14">C$49/C47</f>
        <v>0.65811857944803331</v>
      </c>
      <c r="D54" s="21">
        <f t="shared" si="14"/>
        <v>0.68016666883357912</v>
      </c>
      <c r="E54" s="21">
        <f t="shared" si="14"/>
        <v>0.53544849920263726</v>
      </c>
    </row>
    <row r="55" spans="1:5" x14ac:dyDescent="0.25">
      <c r="B55" s="2"/>
      <c r="C55" s="34"/>
      <c r="D55" s="34"/>
      <c r="E55" s="34"/>
    </row>
    <row r="56" spans="1:5" x14ac:dyDescent="0.25">
      <c r="A56" s="1" t="s">
        <v>85</v>
      </c>
      <c r="B56" s="20" t="str">
        <f>B52</f>
        <v>BL</v>
      </c>
      <c r="C56" s="21">
        <f>(C52+C$22)/2</f>
        <v>0.99678985779014306</v>
      </c>
      <c r="D56" s="21">
        <f t="shared" ref="D56:E56" si="15">(D52+D$22)/2</f>
        <v>1.0105757390096832</v>
      </c>
      <c r="E56" s="21">
        <f t="shared" si="15"/>
        <v>0.75030351771925918</v>
      </c>
    </row>
    <row r="57" spans="1:5" x14ac:dyDescent="0.25">
      <c r="A57" s="1"/>
      <c r="B57" s="20" t="str">
        <f>B53</f>
        <v>WC</v>
      </c>
      <c r="C57" s="21">
        <f t="shared" ref="C57:E57" si="16">(C53+C$22)/2</f>
        <v>0.99920414416828118</v>
      </c>
      <c r="D57" s="21">
        <f t="shared" si="16"/>
        <v>1.0132777779693654</v>
      </c>
      <c r="E57" s="21">
        <f t="shared" si="16"/>
        <v>0.75186428637890312</v>
      </c>
    </row>
    <row r="58" spans="1:5" x14ac:dyDescent="0.25">
      <c r="A58" s="1"/>
      <c r="B58" s="20" t="str">
        <f>B54</f>
        <v>BC</v>
      </c>
      <c r="C58" s="21">
        <f t="shared" ref="C58:E58" si="17">(C54+C$22)/2</f>
        <v>0.99441023892545155</v>
      </c>
      <c r="D58" s="21">
        <f t="shared" si="17"/>
        <v>1.0079156421253928</v>
      </c>
      <c r="E58" s="21">
        <f t="shared" si="17"/>
        <v>0.74876063525741032</v>
      </c>
    </row>
    <row r="59" spans="1:5" x14ac:dyDescent="0.25">
      <c r="B59" s="3"/>
      <c r="C59" s="3"/>
      <c r="D59" s="3"/>
      <c r="E59" s="3"/>
    </row>
    <row r="60" spans="1:5" x14ac:dyDescent="0.25">
      <c r="B60" s="3"/>
      <c r="C60" s="3"/>
      <c r="D60" s="3"/>
      <c r="E60" s="3"/>
    </row>
    <row r="61" spans="1:5" ht="15.75" x14ac:dyDescent="0.25">
      <c r="B61" s="43" t="s">
        <v>138</v>
      </c>
      <c r="C61" s="43"/>
      <c r="D61" s="43"/>
      <c r="E61" s="43"/>
    </row>
    <row r="62" spans="1:5" x14ac:dyDescent="0.25">
      <c r="B62" s="46" t="s">
        <v>64</v>
      </c>
      <c r="C62" s="46"/>
      <c r="D62" s="46"/>
      <c r="E62" s="46"/>
    </row>
    <row r="63" spans="1:5" x14ac:dyDescent="0.25">
      <c r="B63" s="28" t="str">
        <f>B56</f>
        <v>BL</v>
      </c>
      <c r="C63" s="29">
        <f>C45</f>
        <v>18.331973662655475</v>
      </c>
      <c r="D63" s="29">
        <f t="shared" ref="D63:E63" si="18">D45</f>
        <v>28.621733438984979</v>
      </c>
      <c r="E63" s="29">
        <f t="shared" si="18"/>
        <v>26.894406692184052</v>
      </c>
    </row>
    <row r="64" spans="1:5" x14ac:dyDescent="0.25">
      <c r="B64" s="28" t="str">
        <f t="shared" ref="B64:B65" si="19">B57</f>
        <v>WC</v>
      </c>
      <c r="C64" s="29">
        <f>C46</f>
        <v>18.199404512605764</v>
      </c>
      <c r="D64" s="29">
        <f>D46</f>
        <v>28.397857182082856</v>
      </c>
      <c r="E64" s="29">
        <f>E46</f>
        <v>26.739415470921948</v>
      </c>
    </row>
    <row r="65" spans="1:9" x14ac:dyDescent="0.25">
      <c r="B65" s="28" t="str">
        <f t="shared" si="19"/>
        <v>BC</v>
      </c>
      <c r="C65" s="29">
        <f>C47</f>
        <v>18.464542812705215</v>
      </c>
      <c r="D65" s="29">
        <f>D47</f>
        <v>28.845609695887145</v>
      </c>
      <c r="E65" s="29">
        <f>E47</f>
        <v>27.049397913446196</v>
      </c>
    </row>
    <row r="66" spans="1:9" x14ac:dyDescent="0.25">
      <c r="B66" s="3"/>
      <c r="C66" s="3"/>
      <c r="D66" s="3"/>
      <c r="E66" s="3"/>
    </row>
    <row r="67" spans="1:9" x14ac:dyDescent="0.25">
      <c r="B67" s="22" t="s">
        <v>75</v>
      </c>
      <c r="C67" s="23">
        <f>NPP!C30</f>
        <v>12.931430809814433</v>
      </c>
      <c r="D67" s="23">
        <f>NPP!D30</f>
        <v>19.923212519875531</v>
      </c>
      <c r="E67" s="23">
        <f>NPP!E30</f>
        <v>14.582727723010285</v>
      </c>
    </row>
    <row r="68" spans="1:9" x14ac:dyDescent="0.25">
      <c r="B68" s="3"/>
      <c r="C68" s="3"/>
      <c r="D68" s="3"/>
      <c r="E68" s="3"/>
    </row>
    <row r="69" spans="1:9" x14ac:dyDescent="0.25">
      <c r="B69" s="45" t="s">
        <v>79</v>
      </c>
      <c r="C69" s="45"/>
      <c r="D69" s="45"/>
      <c r="E69" s="45"/>
    </row>
    <row r="70" spans="1:9" x14ac:dyDescent="0.25">
      <c r="A70" s="33">
        <v>2050</v>
      </c>
      <c r="B70" s="32" t="str">
        <f>B52</f>
        <v>BL</v>
      </c>
      <c r="C70" s="21">
        <f>C$67/C63</f>
        <v>0.70540308685678377</v>
      </c>
      <c r="D70" s="21">
        <f>D$67/D63</f>
        <v>0.6960868586924438</v>
      </c>
      <c r="E70" s="21">
        <f>E$67/E63</f>
        <v>0.5422215812348915</v>
      </c>
    </row>
    <row r="71" spans="1:9" x14ac:dyDescent="0.25">
      <c r="A71" s="33"/>
      <c r="B71" s="32" t="str">
        <f>B53</f>
        <v>WC</v>
      </c>
      <c r="C71" s="21">
        <f>C$67/C64</f>
        <v>0.71054142463054304</v>
      </c>
      <c r="D71" s="21">
        <f t="shared" ref="D71:E72" si="20">D$67/D64</f>
        <v>0.70157450233413188</v>
      </c>
      <c r="E71" s="21">
        <f t="shared" si="20"/>
        <v>0.54536449156371503</v>
      </c>
    </row>
    <row r="72" spans="1:9" x14ac:dyDescent="0.25">
      <c r="A72" s="33"/>
      <c r="B72" s="32" t="str">
        <f>B54</f>
        <v>BC</v>
      </c>
      <c r="C72" s="21">
        <f>C$67/C65</f>
        <v>0.70033853212528396</v>
      </c>
      <c r="D72" s="21">
        <f t="shared" si="20"/>
        <v>0.69068439634043222</v>
      </c>
      <c r="E72" s="21">
        <f t="shared" si="20"/>
        <v>0.53911468823345765</v>
      </c>
    </row>
    <row r="73" spans="1:9" x14ac:dyDescent="0.25">
      <c r="A73" s="33"/>
      <c r="B73" s="16"/>
      <c r="C73" s="34"/>
      <c r="D73" s="34"/>
      <c r="E73" s="34"/>
    </row>
    <row r="74" spans="1:9" x14ac:dyDescent="0.25">
      <c r="A74" s="33" t="s">
        <v>85</v>
      </c>
      <c r="B74" s="32" t="str">
        <f>B56</f>
        <v>BL</v>
      </c>
      <c r="C74" s="21">
        <f>(C$22+C70)*0.5</f>
        <v>1.0180524926298267</v>
      </c>
      <c r="D74" s="21">
        <f>(D$22+D70)*0.5</f>
        <v>1.015875737054825</v>
      </c>
      <c r="E74" s="21">
        <f t="shared" ref="E74" si="21">(E$22+E70)*0.5</f>
        <v>0.75214717627353744</v>
      </c>
    </row>
    <row r="75" spans="1:9" x14ac:dyDescent="0.25">
      <c r="A75" s="16"/>
      <c r="B75" s="32" t="str">
        <f t="shared" ref="B75:B76" si="22">B57</f>
        <v>WC</v>
      </c>
      <c r="C75" s="21">
        <f t="shared" ref="C75" si="23">(C$22+C71)*0.5</f>
        <v>1.0206216615167065</v>
      </c>
      <c r="D75" s="21">
        <f>(D$22+D71)*0.5</f>
        <v>1.018619558875669</v>
      </c>
      <c r="E75" s="21">
        <f>(E$22+E71)*0.5</f>
        <v>0.75371863143794926</v>
      </c>
    </row>
    <row r="76" spans="1:9" x14ac:dyDescent="0.25">
      <c r="A76" s="16"/>
      <c r="B76" s="32" t="str">
        <f t="shared" si="22"/>
        <v>BC</v>
      </c>
      <c r="C76" s="21">
        <f t="shared" ref="C76:E76" si="24">(C$22+C72)*0.5</f>
        <v>1.0155202152640768</v>
      </c>
      <c r="D76" s="21">
        <f t="shared" si="24"/>
        <v>1.0131745058788193</v>
      </c>
      <c r="E76" s="21">
        <f t="shared" si="24"/>
        <v>0.75059372977282057</v>
      </c>
    </row>
    <row r="78" spans="1:9" ht="15.75" x14ac:dyDescent="0.25">
      <c r="B78" s="43" t="s">
        <v>139</v>
      </c>
      <c r="C78" s="43"/>
      <c r="D78" s="43"/>
      <c r="E78" s="43"/>
      <c r="H78" s="45" t="s">
        <v>140</v>
      </c>
      <c r="I78" s="45"/>
    </row>
    <row r="79" spans="1:9" x14ac:dyDescent="0.25">
      <c r="H79" s="39" t="s">
        <v>141</v>
      </c>
      <c r="I79">
        <v>1.3</v>
      </c>
    </row>
    <row r="80" spans="1:9" x14ac:dyDescent="0.25">
      <c r="B80" s="42" t="s">
        <v>163</v>
      </c>
      <c r="C80" s="42"/>
      <c r="D80" s="42"/>
      <c r="E80" s="42"/>
      <c r="H80" s="39" t="s">
        <v>144</v>
      </c>
      <c r="I80">
        <v>0.8</v>
      </c>
    </row>
    <row r="81" spans="1:11" x14ac:dyDescent="0.25">
      <c r="B81" t="s">
        <v>13</v>
      </c>
      <c r="C81">
        <f>(C2)*30*Validate_2020!$G2/100</f>
        <v>0.49402322991933489</v>
      </c>
      <c r="D81">
        <f>(D2)*30*Validate_2020!$G2/100</f>
        <v>0.48640304349731928</v>
      </c>
      <c r="E81">
        <f>(E2)*30*Validate_2020!$G2/100</f>
        <v>0</v>
      </c>
      <c r="H81" s="39" t="s">
        <v>143</v>
      </c>
      <c r="I81">
        <f>I79</f>
        <v>1.3</v>
      </c>
    </row>
    <row r="82" spans="1:11" x14ac:dyDescent="0.25">
      <c r="B82" t="s">
        <v>16</v>
      </c>
      <c r="C82">
        <f>(C3)*30*Validate_2020!$G3/100</f>
        <v>0</v>
      </c>
      <c r="D82">
        <f>(D3)*30*Validate_2020!$G3/100</f>
        <v>2.5194151670693041</v>
      </c>
      <c r="E82">
        <f>(E3)*30*Validate_2020!$G3/100</f>
        <v>2.1101718564805916</v>
      </c>
      <c r="H82" s="39" t="s">
        <v>145</v>
      </c>
      <c r="I82">
        <f t="shared" ref="I82:I96" si="25">I80</f>
        <v>0.8</v>
      </c>
    </row>
    <row r="83" spans="1:11" x14ac:dyDescent="0.25">
      <c r="B83" t="str">
        <f>B4</f>
        <v>Mixed</v>
      </c>
      <c r="C83">
        <f>(C4)*30*Validate_2020!$G4/100</f>
        <v>0</v>
      </c>
      <c r="D83">
        <f>(D4)*30*Validate_2020!$G4/100</f>
        <v>0</v>
      </c>
      <c r="E83">
        <f>(E4)*30*Validate_2020!$G4/100</f>
        <v>0.38596556316357417</v>
      </c>
      <c r="H83" s="39" t="s">
        <v>146</v>
      </c>
      <c r="I83">
        <f t="shared" si="25"/>
        <v>1.3</v>
      </c>
    </row>
    <row r="84" spans="1:11" x14ac:dyDescent="0.25">
      <c r="B84" t="s">
        <v>22</v>
      </c>
      <c r="C84">
        <f>(C5)*30*Validate_2020!$G5/100</f>
        <v>2.0019220309243413E-2</v>
      </c>
      <c r="D84">
        <f>(D5)*30*Validate_2020!$G5/100</f>
        <v>9.2522672890536062E-2</v>
      </c>
      <c r="E84">
        <f>(E5)*30*Validate_2020!$G5/100</f>
        <v>0.15001904223920623</v>
      </c>
      <c r="H84" s="39" t="s">
        <v>147</v>
      </c>
      <c r="I84">
        <f t="shared" si="25"/>
        <v>0.8</v>
      </c>
    </row>
    <row r="85" spans="1:11" x14ac:dyDescent="0.25">
      <c r="B85" t="s">
        <v>23</v>
      </c>
      <c r="C85">
        <f>(C6)*30*Validate_2020!$G6/100</f>
        <v>5.3182961871764585</v>
      </c>
      <c r="D85">
        <f>(D6)*30*Validate_2020!$G6/100</f>
        <v>7.088110217691594</v>
      </c>
      <c r="E85">
        <f>(E6)*30*Validate_2020!$G6/100</f>
        <v>6.1560286644571258</v>
      </c>
      <c r="H85" s="39" t="s">
        <v>148</v>
      </c>
      <c r="I85">
        <f t="shared" si="25"/>
        <v>1.3</v>
      </c>
    </row>
    <row r="86" spans="1:11" x14ac:dyDescent="0.25">
      <c r="B86" t="s">
        <v>60</v>
      </c>
      <c r="C86">
        <f t="shared" ref="C86:E87" si="26">AVERAGE(C7)</f>
        <v>3.0271361942572905E-2</v>
      </c>
      <c r="D86">
        <f t="shared" si="26"/>
        <v>1.4765740788097195</v>
      </c>
      <c r="E86">
        <f t="shared" si="26"/>
        <v>6.3853780054327789</v>
      </c>
      <c r="H86" s="39" t="s">
        <v>149</v>
      </c>
      <c r="I86">
        <f t="shared" si="25"/>
        <v>0.8</v>
      </c>
    </row>
    <row r="87" spans="1:11" x14ac:dyDescent="0.25">
      <c r="B87" t="s">
        <v>80</v>
      </c>
      <c r="C87">
        <f t="shared" si="26"/>
        <v>11.794047385286973</v>
      </c>
      <c r="D87">
        <f t="shared" si="26"/>
        <v>9.6481198260451801</v>
      </c>
      <c r="E87">
        <f t="shared" si="26"/>
        <v>9.0810136627013929</v>
      </c>
      <c r="H87" s="37" t="s">
        <v>150</v>
      </c>
      <c r="I87">
        <f t="shared" si="25"/>
        <v>1.3</v>
      </c>
      <c r="J87" s="38"/>
      <c r="K87" s="38"/>
    </row>
    <row r="88" spans="1:11" x14ac:dyDescent="0.25">
      <c r="H88" s="37" t="s">
        <v>151</v>
      </c>
      <c r="I88">
        <f t="shared" si="25"/>
        <v>0.8</v>
      </c>
      <c r="J88" s="4"/>
      <c r="K88" s="4"/>
    </row>
    <row r="89" spans="1:11" x14ac:dyDescent="0.25">
      <c r="A89" s="36" t="str">
        <f>H79</f>
        <v>+20% Herd size</v>
      </c>
      <c r="B89" s="42" t="s">
        <v>142</v>
      </c>
      <c r="C89" s="42"/>
      <c r="D89" s="42"/>
      <c r="E89" s="42"/>
      <c r="H89" s="37" t="s">
        <v>152</v>
      </c>
      <c r="I89">
        <f t="shared" si="25"/>
        <v>1.3</v>
      </c>
      <c r="J89" s="4"/>
      <c r="K89" s="4"/>
    </row>
    <row r="90" spans="1:11" x14ac:dyDescent="0.25">
      <c r="B90" t="str">
        <f>B81</f>
        <v>Pastoral</v>
      </c>
      <c r="C90" s="40">
        <f>C81*$I$79</f>
        <v>0.64223019889513533</v>
      </c>
      <c r="D90" s="40">
        <f t="shared" ref="D90:E90" si="27">D81*$I$79</f>
        <v>0.63232395654651508</v>
      </c>
      <c r="E90" s="40">
        <f t="shared" si="27"/>
        <v>0</v>
      </c>
      <c r="H90" s="37" t="s">
        <v>153</v>
      </c>
      <c r="I90">
        <f t="shared" si="25"/>
        <v>0.8</v>
      </c>
      <c r="J90" s="4"/>
      <c r="K90" s="4"/>
    </row>
    <row r="91" spans="1:11" x14ac:dyDescent="0.25">
      <c r="B91" t="str">
        <f t="shared" ref="B91:B96" si="28">B82</f>
        <v>Agropastoral</v>
      </c>
      <c r="C91" s="40">
        <f t="shared" ref="C91:E91" si="29">C82*$I$79</f>
        <v>0</v>
      </c>
      <c r="D91" s="40">
        <f t="shared" si="29"/>
        <v>3.2752397171900953</v>
      </c>
      <c r="E91" s="40">
        <f t="shared" si="29"/>
        <v>2.7432234134247691</v>
      </c>
      <c r="H91" s="37" t="s">
        <v>154</v>
      </c>
      <c r="I91">
        <f t="shared" si="25"/>
        <v>1.3</v>
      </c>
      <c r="J91" s="4"/>
      <c r="K91" s="4"/>
    </row>
    <row r="92" spans="1:11" x14ac:dyDescent="0.25">
      <c r="B92" t="str">
        <f t="shared" si="28"/>
        <v>Mixed</v>
      </c>
      <c r="C92" s="40">
        <f t="shared" ref="C92:E92" si="30">C83*$I$79</f>
        <v>0</v>
      </c>
      <c r="D92" s="40">
        <f t="shared" si="30"/>
        <v>0</v>
      </c>
      <c r="E92" s="40">
        <f t="shared" si="30"/>
        <v>0.50175523211264639</v>
      </c>
      <c r="H92" s="37" t="s">
        <v>155</v>
      </c>
      <c r="I92">
        <f t="shared" si="25"/>
        <v>0.8</v>
      </c>
      <c r="J92" s="4"/>
      <c r="K92" s="4"/>
    </row>
    <row r="93" spans="1:11" x14ac:dyDescent="0.25">
      <c r="B93" t="str">
        <f t="shared" si="28"/>
        <v>Cowcalf</v>
      </c>
      <c r="C93" s="40">
        <f t="shared" ref="C93:E93" si="31">C84*$I$79</f>
        <v>2.6024986402016437E-2</v>
      </c>
      <c r="D93" s="40">
        <f t="shared" si="31"/>
        <v>0.12027947475769689</v>
      </c>
      <c r="E93" s="40">
        <f t="shared" si="31"/>
        <v>0.1950247549109681</v>
      </c>
      <c r="H93" s="37" t="s">
        <v>156</v>
      </c>
      <c r="I93">
        <f t="shared" si="25"/>
        <v>1.3</v>
      </c>
      <c r="J93" s="4"/>
      <c r="K93" s="4"/>
    </row>
    <row r="94" spans="1:11" x14ac:dyDescent="0.25">
      <c r="B94" t="str">
        <f t="shared" si="28"/>
        <v>Finisher</v>
      </c>
      <c r="C94" s="40">
        <f t="shared" ref="C94:E94" si="32">C85*$I$79</f>
        <v>6.9137850433293959</v>
      </c>
      <c r="D94" s="40">
        <f t="shared" si="32"/>
        <v>9.2145432829990721</v>
      </c>
      <c r="E94" s="40">
        <f t="shared" si="32"/>
        <v>8.0028372637942642</v>
      </c>
      <c r="H94" s="37" t="s">
        <v>157</v>
      </c>
      <c r="I94">
        <f t="shared" si="25"/>
        <v>0.8</v>
      </c>
      <c r="J94" s="4"/>
      <c r="K94" s="4"/>
    </row>
    <row r="95" spans="1:11" x14ac:dyDescent="0.25">
      <c r="B95" t="str">
        <f t="shared" si="28"/>
        <v>Dairy</v>
      </c>
      <c r="C95">
        <f t="shared" ref="C95:E96" si="33">C86</f>
        <v>3.0271361942572905E-2</v>
      </c>
      <c r="D95">
        <f t="shared" si="33"/>
        <v>1.4765740788097195</v>
      </c>
      <c r="E95">
        <f t="shared" si="33"/>
        <v>6.3853780054327789</v>
      </c>
      <c r="H95" s="37" t="s">
        <v>158</v>
      </c>
      <c r="I95">
        <f t="shared" si="25"/>
        <v>1.3</v>
      </c>
      <c r="J95" s="4"/>
      <c r="K95" s="4"/>
    </row>
    <row r="96" spans="1:11" x14ac:dyDescent="0.25">
      <c r="B96" t="str">
        <f t="shared" si="28"/>
        <v>Sheep</v>
      </c>
      <c r="C96">
        <f t="shared" si="33"/>
        <v>11.794047385286973</v>
      </c>
      <c r="D96">
        <f t="shared" si="33"/>
        <v>9.6481198260451801</v>
      </c>
      <c r="E96">
        <f t="shared" si="33"/>
        <v>9.0810136627013929</v>
      </c>
      <c r="H96" s="37" t="s">
        <v>159</v>
      </c>
      <c r="I96">
        <f t="shared" si="25"/>
        <v>0.8</v>
      </c>
      <c r="J96" s="4"/>
      <c r="K96" s="4"/>
    </row>
    <row r="97" spans="1:11" x14ac:dyDescent="0.25">
      <c r="H97" s="4"/>
      <c r="I97" s="4"/>
      <c r="J97" s="4"/>
      <c r="K97" s="4"/>
    </row>
    <row r="98" spans="1:11" x14ac:dyDescent="0.25">
      <c r="A98" t="str">
        <f>H80</f>
        <v xml:space="preserve">-20% Herd size </v>
      </c>
      <c r="B98" s="42" t="str">
        <f>B89</f>
        <v>Animal populations (M hd) -- SA scenario specific</v>
      </c>
      <c r="C98" s="42"/>
      <c r="D98" s="42"/>
      <c r="E98" s="42"/>
      <c r="H98" s="4"/>
      <c r="I98" s="4"/>
      <c r="J98" s="4"/>
      <c r="K98" s="4"/>
    </row>
    <row r="99" spans="1:11" x14ac:dyDescent="0.25">
      <c r="B99" t="str">
        <f>B90</f>
        <v>Pastoral</v>
      </c>
      <c r="C99" s="6">
        <f>C81*$I$80</f>
        <v>0.39521858393546794</v>
      </c>
      <c r="D99" s="6">
        <f t="shared" ref="D99:E99" si="34">D81*$I$80</f>
        <v>0.38912243479785547</v>
      </c>
      <c r="E99" s="6">
        <f t="shared" si="34"/>
        <v>0</v>
      </c>
      <c r="H99" s="4"/>
      <c r="I99" s="4"/>
      <c r="J99" s="4"/>
      <c r="K99" s="4"/>
    </row>
    <row r="100" spans="1:11" x14ac:dyDescent="0.25">
      <c r="B100" t="str">
        <f t="shared" ref="B100:B105" si="35">B91</f>
        <v>Agropastoral</v>
      </c>
      <c r="C100" s="6">
        <f t="shared" ref="C100:E100" si="36">C82*$I$80</f>
        <v>0</v>
      </c>
      <c r="D100" s="6">
        <f t="shared" si="36"/>
        <v>2.0155321336554435</v>
      </c>
      <c r="E100" s="6">
        <f t="shared" si="36"/>
        <v>1.6881374851844733</v>
      </c>
      <c r="H100" s="4"/>
      <c r="I100" s="4"/>
      <c r="J100" s="4"/>
      <c r="K100" s="4"/>
    </row>
    <row r="101" spans="1:11" x14ac:dyDescent="0.25">
      <c r="B101" t="str">
        <f t="shared" si="35"/>
        <v>Mixed</v>
      </c>
      <c r="C101" s="6">
        <f t="shared" ref="C101:E101" si="37">C83*$I$80</f>
        <v>0</v>
      </c>
      <c r="D101" s="6">
        <f t="shared" si="37"/>
        <v>0</v>
      </c>
      <c r="E101" s="6">
        <f t="shared" si="37"/>
        <v>0.30877245053085933</v>
      </c>
      <c r="H101" s="4"/>
      <c r="I101" s="4"/>
      <c r="J101" s="4"/>
      <c r="K101" s="4"/>
    </row>
    <row r="102" spans="1:11" x14ac:dyDescent="0.25">
      <c r="B102" t="str">
        <f t="shared" si="35"/>
        <v>Cowcalf</v>
      </c>
      <c r="C102" s="6">
        <f t="shared" ref="C102:E102" si="38">C84*$I$80</f>
        <v>1.6015376247394731E-2</v>
      </c>
      <c r="D102" s="6">
        <f t="shared" si="38"/>
        <v>7.4018138312428858E-2</v>
      </c>
      <c r="E102" s="6">
        <f t="shared" si="38"/>
        <v>0.12001523379136499</v>
      </c>
      <c r="H102" s="4"/>
      <c r="I102" s="4"/>
      <c r="J102" s="4"/>
      <c r="K102" s="4"/>
    </row>
    <row r="103" spans="1:11" x14ac:dyDescent="0.25">
      <c r="B103" t="str">
        <f t="shared" si="35"/>
        <v>Finisher</v>
      </c>
      <c r="C103" s="6">
        <f t="shared" ref="C103:E103" si="39">C85*$I$80</f>
        <v>4.2546369497411671</v>
      </c>
      <c r="D103" s="6">
        <f t="shared" si="39"/>
        <v>5.6704881741532756</v>
      </c>
      <c r="E103" s="6">
        <f t="shared" si="39"/>
        <v>4.9248229315657008</v>
      </c>
      <c r="H103" s="4"/>
      <c r="I103" s="4"/>
      <c r="J103" s="4"/>
      <c r="K103" s="4"/>
    </row>
    <row r="104" spans="1:11" x14ac:dyDescent="0.25">
      <c r="B104" t="str">
        <f t="shared" si="35"/>
        <v>Dairy</v>
      </c>
      <c r="C104">
        <f t="shared" ref="C104:E104" si="40">C86*$I$80</f>
        <v>2.4217089554058324E-2</v>
      </c>
      <c r="D104">
        <f t="shared" si="40"/>
        <v>1.1812592630477756</v>
      </c>
      <c r="E104">
        <f t="shared" si="40"/>
        <v>5.1083024043462233</v>
      </c>
      <c r="H104" s="4"/>
      <c r="I104" s="4"/>
      <c r="J104" s="4"/>
      <c r="K104" s="4"/>
    </row>
    <row r="105" spans="1:11" x14ac:dyDescent="0.25">
      <c r="B105" t="str">
        <f t="shared" si="35"/>
        <v>Sheep</v>
      </c>
      <c r="C105">
        <f t="shared" ref="C105:E105" si="41">C87*$I$80</f>
        <v>9.4352379082295794</v>
      </c>
      <c r="D105">
        <f t="shared" si="41"/>
        <v>7.7184958608361445</v>
      </c>
      <c r="E105">
        <f t="shared" si="41"/>
        <v>7.264810930161115</v>
      </c>
      <c r="H105" s="4"/>
      <c r="I105" s="4"/>
      <c r="J105" s="4"/>
      <c r="K105" s="4"/>
    </row>
    <row r="106" spans="1:11" x14ac:dyDescent="0.25">
      <c r="H106" s="4"/>
      <c r="I106" s="4"/>
      <c r="J106" s="4"/>
      <c r="K106" s="4"/>
    </row>
    <row r="107" spans="1:11" x14ac:dyDescent="0.25">
      <c r="A107" t="str">
        <f>H81</f>
        <v>+20% Zebu</v>
      </c>
      <c r="B107" s="42" t="str">
        <f>B98</f>
        <v>Animal populations (M hd) -- SA scenario specific</v>
      </c>
      <c r="C107" s="42"/>
      <c r="D107" s="42"/>
      <c r="E107" s="42"/>
      <c r="H107" s="4"/>
      <c r="I107" s="4"/>
      <c r="J107" s="4"/>
      <c r="K107" s="4"/>
    </row>
    <row r="108" spans="1:11" x14ac:dyDescent="0.25">
      <c r="B108" t="str">
        <f>B99</f>
        <v>Pastoral</v>
      </c>
      <c r="C108">
        <f>C81</f>
        <v>0.49402322991933489</v>
      </c>
      <c r="D108">
        <f t="shared" ref="D108:E108" si="42">D81</f>
        <v>0.48640304349731928</v>
      </c>
      <c r="E108">
        <f t="shared" si="42"/>
        <v>0</v>
      </c>
      <c r="H108" s="4"/>
      <c r="I108" s="4"/>
      <c r="J108" s="4"/>
      <c r="K108" s="4"/>
    </row>
    <row r="109" spans="1:11" x14ac:dyDescent="0.25">
      <c r="B109" t="str">
        <f t="shared" ref="B109:B114" si="43">B100</f>
        <v>Agropastoral</v>
      </c>
      <c r="C109">
        <f t="shared" ref="C109:E109" si="44">C82</f>
        <v>0</v>
      </c>
      <c r="D109">
        <f t="shared" si="44"/>
        <v>2.5194151670693041</v>
      </c>
      <c r="E109">
        <f t="shared" si="44"/>
        <v>2.1101718564805916</v>
      </c>
      <c r="H109" s="4"/>
      <c r="I109" s="4"/>
      <c r="J109" s="4"/>
      <c r="K109" s="4"/>
    </row>
    <row r="110" spans="1:11" x14ac:dyDescent="0.25">
      <c r="B110" t="str">
        <f t="shared" si="43"/>
        <v>Mixed</v>
      </c>
      <c r="C110">
        <f t="shared" ref="C110:E110" si="45">C83</f>
        <v>0</v>
      </c>
      <c r="D110">
        <f t="shared" si="45"/>
        <v>0</v>
      </c>
      <c r="E110">
        <f t="shared" si="45"/>
        <v>0.38596556316357417</v>
      </c>
      <c r="H110" s="4"/>
      <c r="I110" s="4"/>
      <c r="J110" s="4"/>
      <c r="K110" s="4"/>
    </row>
    <row r="111" spans="1:11" x14ac:dyDescent="0.25">
      <c r="B111" t="str">
        <f t="shared" si="43"/>
        <v>Cowcalf</v>
      </c>
      <c r="C111">
        <f t="shared" ref="C111:E111" si="46">C84</f>
        <v>2.0019220309243413E-2</v>
      </c>
      <c r="D111">
        <f t="shared" si="46"/>
        <v>9.2522672890536062E-2</v>
      </c>
      <c r="E111">
        <f t="shared" si="46"/>
        <v>0.15001904223920623</v>
      </c>
      <c r="H111" s="4"/>
      <c r="I111" s="4"/>
      <c r="J111" s="4"/>
      <c r="K111" s="4"/>
    </row>
    <row r="112" spans="1:11" x14ac:dyDescent="0.25">
      <c r="B112" t="str">
        <f t="shared" si="43"/>
        <v>Finisher</v>
      </c>
      <c r="C112">
        <f t="shared" ref="C112:E112" si="47">C85</f>
        <v>5.3182961871764585</v>
      </c>
      <c r="D112">
        <f t="shared" si="47"/>
        <v>7.088110217691594</v>
      </c>
      <c r="E112">
        <f t="shared" si="47"/>
        <v>6.1560286644571258</v>
      </c>
      <c r="H112" s="4"/>
      <c r="I112" s="4"/>
      <c r="J112" s="4"/>
      <c r="K112" s="4"/>
    </row>
    <row r="113" spans="1:11" x14ac:dyDescent="0.25">
      <c r="B113" t="str">
        <f t="shared" si="43"/>
        <v>Dairy</v>
      </c>
      <c r="C113">
        <f t="shared" ref="C113:E113" si="48">C86</f>
        <v>3.0271361942572905E-2</v>
      </c>
      <c r="D113">
        <f t="shared" si="48"/>
        <v>1.4765740788097195</v>
      </c>
      <c r="E113">
        <f t="shared" si="48"/>
        <v>6.3853780054327789</v>
      </c>
      <c r="H113" s="4"/>
      <c r="I113" s="4"/>
      <c r="J113" s="4"/>
      <c r="K113" s="4"/>
    </row>
    <row r="114" spans="1:11" x14ac:dyDescent="0.25">
      <c r="B114" t="str">
        <f t="shared" si="43"/>
        <v>Sheep</v>
      </c>
      <c r="C114">
        <f t="shared" ref="C114:E114" si="49">C87</f>
        <v>11.794047385286973</v>
      </c>
      <c r="D114">
        <f t="shared" si="49"/>
        <v>9.6481198260451801</v>
      </c>
      <c r="E114">
        <f t="shared" si="49"/>
        <v>9.0810136627013929</v>
      </c>
      <c r="H114" s="4"/>
      <c r="I114" s="4"/>
      <c r="J114" s="4"/>
      <c r="K114" s="4"/>
    </row>
    <row r="115" spans="1:11" x14ac:dyDescent="0.25">
      <c r="H115" s="4"/>
      <c r="I115" s="4"/>
      <c r="J115" s="4"/>
      <c r="K115" s="4"/>
    </row>
    <row r="116" spans="1:11" x14ac:dyDescent="0.25">
      <c r="B116" s="42" t="str">
        <f>B107</f>
        <v>Animal populations (M hd) -- SA scenario specific</v>
      </c>
      <c r="C116" s="42"/>
      <c r="D116" s="42"/>
      <c r="E116" s="42"/>
      <c r="H116" s="4"/>
      <c r="I116" s="4"/>
      <c r="J116" s="4"/>
      <c r="K116" s="4"/>
    </row>
    <row r="117" spans="1:11" x14ac:dyDescent="0.25">
      <c r="A117" t="str">
        <f>H82</f>
        <v>-20% Zebu</v>
      </c>
      <c r="B117" t="str">
        <f>B108</f>
        <v>Pastoral</v>
      </c>
      <c r="C117">
        <f>C81</f>
        <v>0.49402322991933489</v>
      </c>
      <c r="D117">
        <f t="shared" ref="D117:E117" si="50">D81</f>
        <v>0.48640304349731928</v>
      </c>
      <c r="E117">
        <f t="shared" si="50"/>
        <v>0</v>
      </c>
      <c r="H117" s="4"/>
      <c r="I117" s="4"/>
      <c r="J117" s="4"/>
      <c r="K117" s="4"/>
    </row>
    <row r="118" spans="1:11" x14ac:dyDescent="0.25">
      <c r="B118" t="str">
        <f t="shared" ref="B118:B123" si="51">B109</f>
        <v>Agropastoral</v>
      </c>
      <c r="C118">
        <f t="shared" ref="C118:E118" si="52">C82</f>
        <v>0</v>
      </c>
      <c r="D118">
        <f t="shared" si="52"/>
        <v>2.5194151670693041</v>
      </c>
      <c r="E118">
        <f t="shared" si="52"/>
        <v>2.1101718564805916</v>
      </c>
      <c r="H118" s="4"/>
      <c r="I118" s="4"/>
      <c r="J118" s="4"/>
      <c r="K118" s="4"/>
    </row>
    <row r="119" spans="1:11" x14ac:dyDescent="0.25">
      <c r="B119" t="str">
        <f t="shared" si="51"/>
        <v>Mixed</v>
      </c>
      <c r="C119">
        <f t="shared" ref="C119:E119" si="53">C83</f>
        <v>0</v>
      </c>
      <c r="D119">
        <f t="shared" si="53"/>
        <v>0</v>
      </c>
      <c r="E119">
        <f t="shared" si="53"/>
        <v>0.38596556316357417</v>
      </c>
      <c r="H119" s="4"/>
      <c r="I119" s="4"/>
      <c r="J119" s="4"/>
      <c r="K119" s="4"/>
    </row>
    <row r="120" spans="1:11" x14ac:dyDescent="0.25">
      <c r="B120" t="str">
        <f t="shared" si="51"/>
        <v>Cowcalf</v>
      </c>
      <c r="C120">
        <f t="shared" ref="C120:E120" si="54">C84</f>
        <v>2.0019220309243413E-2</v>
      </c>
      <c r="D120">
        <f t="shared" si="54"/>
        <v>9.2522672890536062E-2</v>
      </c>
      <c r="E120">
        <f t="shared" si="54"/>
        <v>0.15001904223920623</v>
      </c>
      <c r="H120" s="4"/>
      <c r="I120" s="4"/>
      <c r="J120" s="4"/>
      <c r="K120" s="4"/>
    </row>
    <row r="121" spans="1:11" x14ac:dyDescent="0.25">
      <c r="B121" t="str">
        <f t="shared" si="51"/>
        <v>Finisher</v>
      </c>
      <c r="C121">
        <f t="shared" ref="C121:E121" si="55">C85</f>
        <v>5.3182961871764585</v>
      </c>
      <c r="D121">
        <f t="shared" si="55"/>
        <v>7.088110217691594</v>
      </c>
      <c r="E121">
        <f t="shared" si="55"/>
        <v>6.1560286644571258</v>
      </c>
      <c r="H121" s="4"/>
      <c r="I121" s="4"/>
      <c r="J121" s="4"/>
      <c r="K121" s="4"/>
    </row>
    <row r="122" spans="1:11" x14ac:dyDescent="0.25">
      <c r="B122" t="str">
        <f t="shared" si="51"/>
        <v>Dairy</v>
      </c>
      <c r="C122">
        <f t="shared" ref="C122:E122" si="56">C86</f>
        <v>3.0271361942572905E-2</v>
      </c>
      <c r="D122">
        <f t="shared" si="56"/>
        <v>1.4765740788097195</v>
      </c>
      <c r="E122">
        <f t="shared" si="56"/>
        <v>6.3853780054327789</v>
      </c>
      <c r="H122" s="4"/>
      <c r="I122" s="4"/>
      <c r="J122" s="4"/>
      <c r="K122" s="4"/>
    </row>
    <row r="123" spans="1:11" x14ac:dyDescent="0.25">
      <c r="B123" t="str">
        <f t="shared" si="51"/>
        <v>Sheep</v>
      </c>
      <c r="C123">
        <f t="shared" ref="C123:E123" si="57">C87</f>
        <v>11.794047385286973</v>
      </c>
      <c r="D123">
        <f t="shared" si="57"/>
        <v>9.6481198260451801</v>
      </c>
      <c r="E123">
        <f t="shared" si="57"/>
        <v>9.0810136627013929</v>
      </c>
      <c r="H123" s="4"/>
      <c r="I123" s="4"/>
      <c r="J123" s="4"/>
      <c r="K123" s="4"/>
    </row>
    <row r="124" spans="1:11" x14ac:dyDescent="0.25">
      <c r="H124" s="4"/>
      <c r="I124" s="4"/>
      <c r="J124" s="4"/>
      <c r="K124" s="4"/>
    </row>
    <row r="125" spans="1:11" x14ac:dyDescent="0.25">
      <c r="A125" t="str">
        <f>H83</f>
        <v>+20% Boran</v>
      </c>
      <c r="B125" s="42" t="str">
        <f>B116</f>
        <v>Animal populations (M hd) -- SA scenario specific</v>
      </c>
      <c r="C125" s="42"/>
      <c r="D125" s="42"/>
      <c r="E125" s="42"/>
      <c r="H125" s="4"/>
      <c r="I125" s="4"/>
      <c r="J125" s="4"/>
      <c r="K125" s="4"/>
    </row>
    <row r="126" spans="1:11" x14ac:dyDescent="0.25">
      <c r="B126" t="str">
        <f>B117</f>
        <v>Pastoral</v>
      </c>
      <c r="C126">
        <f>C81</f>
        <v>0.49402322991933489</v>
      </c>
      <c r="D126">
        <f t="shared" ref="D126:E126" si="58">D81</f>
        <v>0.48640304349731928</v>
      </c>
      <c r="E126">
        <f t="shared" si="58"/>
        <v>0</v>
      </c>
      <c r="H126" s="4"/>
      <c r="I126" s="4"/>
      <c r="J126" s="4"/>
      <c r="K126" s="4"/>
    </row>
    <row r="127" spans="1:11" x14ac:dyDescent="0.25">
      <c r="B127" t="str">
        <f t="shared" ref="B127:B132" si="59">B118</f>
        <v>Agropastoral</v>
      </c>
      <c r="C127">
        <f t="shared" ref="C127:E127" si="60">C82</f>
        <v>0</v>
      </c>
      <c r="D127">
        <f t="shared" si="60"/>
        <v>2.5194151670693041</v>
      </c>
      <c r="E127">
        <f t="shared" si="60"/>
        <v>2.1101718564805916</v>
      </c>
      <c r="H127" s="4"/>
      <c r="I127" s="4"/>
      <c r="J127" s="4"/>
      <c r="K127" s="4"/>
    </row>
    <row r="128" spans="1:11" x14ac:dyDescent="0.25">
      <c r="B128" t="str">
        <f t="shared" si="59"/>
        <v>Mixed</v>
      </c>
      <c r="C128">
        <f t="shared" ref="C128:E128" si="61">C83</f>
        <v>0</v>
      </c>
      <c r="D128">
        <f t="shared" si="61"/>
        <v>0</v>
      </c>
      <c r="E128">
        <f t="shared" si="61"/>
        <v>0.38596556316357417</v>
      </c>
      <c r="H128" s="4"/>
      <c r="I128" s="4"/>
      <c r="J128" s="4"/>
      <c r="K128" s="4"/>
    </row>
    <row r="129" spans="1:11" x14ac:dyDescent="0.25">
      <c r="B129" t="str">
        <f t="shared" si="59"/>
        <v>Cowcalf</v>
      </c>
      <c r="C129">
        <f t="shared" ref="C129:E129" si="62">C84</f>
        <v>2.0019220309243413E-2</v>
      </c>
      <c r="D129">
        <f t="shared" si="62"/>
        <v>9.2522672890536062E-2</v>
      </c>
      <c r="E129">
        <f t="shared" si="62"/>
        <v>0.15001904223920623</v>
      </c>
      <c r="H129" s="4"/>
      <c r="I129" s="4"/>
      <c r="J129" s="4"/>
      <c r="K129" s="4"/>
    </row>
    <row r="130" spans="1:11" x14ac:dyDescent="0.25">
      <c r="B130" t="str">
        <f t="shared" si="59"/>
        <v>Finisher</v>
      </c>
      <c r="C130">
        <f t="shared" ref="C130:E130" si="63">C85</f>
        <v>5.3182961871764585</v>
      </c>
      <c r="D130">
        <f t="shared" si="63"/>
        <v>7.088110217691594</v>
      </c>
      <c r="E130">
        <f t="shared" si="63"/>
        <v>6.1560286644571258</v>
      </c>
      <c r="H130" s="4"/>
      <c r="I130" s="4"/>
      <c r="J130" s="4"/>
      <c r="K130" s="4"/>
    </row>
    <row r="131" spans="1:11" x14ac:dyDescent="0.25">
      <c r="B131" t="str">
        <f t="shared" si="59"/>
        <v>Dairy</v>
      </c>
      <c r="C131">
        <f t="shared" ref="C131:E131" si="64">C86</f>
        <v>3.0271361942572905E-2</v>
      </c>
      <c r="D131">
        <f t="shared" si="64"/>
        <v>1.4765740788097195</v>
      </c>
      <c r="E131">
        <f t="shared" si="64"/>
        <v>6.3853780054327789</v>
      </c>
      <c r="H131" s="4"/>
      <c r="I131" s="4"/>
      <c r="J131" s="4"/>
      <c r="K131" s="4"/>
    </row>
    <row r="132" spans="1:11" x14ac:dyDescent="0.25">
      <c r="B132" t="str">
        <f t="shared" si="59"/>
        <v>Sheep</v>
      </c>
      <c r="C132">
        <f t="shared" ref="C132:E132" si="65">C87</f>
        <v>11.794047385286973</v>
      </c>
      <c r="D132">
        <f t="shared" si="65"/>
        <v>9.6481198260451801</v>
      </c>
      <c r="E132">
        <f t="shared" si="65"/>
        <v>9.0810136627013929</v>
      </c>
      <c r="H132" s="4"/>
      <c r="I132" s="4"/>
      <c r="J132" s="4"/>
      <c r="K132" s="4"/>
    </row>
    <row r="133" spans="1:11" x14ac:dyDescent="0.25">
      <c r="H133" s="4"/>
      <c r="I133" s="4"/>
      <c r="J133" s="4"/>
      <c r="K133" s="4"/>
    </row>
    <row r="134" spans="1:11" x14ac:dyDescent="0.25">
      <c r="A134" t="str">
        <f>H84</f>
        <v>-20% Boran</v>
      </c>
      <c r="B134" s="42" t="str">
        <f>B125</f>
        <v>Animal populations (M hd) -- SA scenario specific</v>
      </c>
      <c r="C134" s="42"/>
      <c r="D134" s="42"/>
      <c r="E134" s="42"/>
      <c r="H134" s="4"/>
      <c r="I134" s="4"/>
      <c r="J134" s="4"/>
      <c r="K134" s="4"/>
    </row>
    <row r="135" spans="1:11" x14ac:dyDescent="0.25">
      <c r="B135" t="str">
        <f>B126</f>
        <v>Pastoral</v>
      </c>
      <c r="C135">
        <f>C81</f>
        <v>0.49402322991933489</v>
      </c>
      <c r="D135">
        <f t="shared" ref="D135:E135" si="66">D81</f>
        <v>0.48640304349731928</v>
      </c>
      <c r="E135">
        <f t="shared" si="66"/>
        <v>0</v>
      </c>
      <c r="H135" s="4"/>
      <c r="I135" s="4"/>
      <c r="J135" s="4"/>
      <c r="K135" s="4"/>
    </row>
    <row r="136" spans="1:11" x14ac:dyDescent="0.25">
      <c r="B136" t="str">
        <f t="shared" ref="B136:B141" si="67">B127</f>
        <v>Agropastoral</v>
      </c>
      <c r="C136">
        <f t="shared" ref="C136:E136" si="68">C82</f>
        <v>0</v>
      </c>
      <c r="D136">
        <f t="shared" si="68"/>
        <v>2.5194151670693041</v>
      </c>
      <c r="E136">
        <f t="shared" si="68"/>
        <v>2.1101718564805916</v>
      </c>
      <c r="H136" s="4"/>
      <c r="I136" s="4"/>
      <c r="J136" s="4"/>
      <c r="K136" s="4"/>
    </row>
    <row r="137" spans="1:11" x14ac:dyDescent="0.25">
      <c r="B137" t="str">
        <f t="shared" si="67"/>
        <v>Mixed</v>
      </c>
      <c r="C137">
        <f t="shared" ref="C137:E137" si="69">C83</f>
        <v>0</v>
      </c>
      <c r="D137">
        <f t="shared" si="69"/>
        <v>0</v>
      </c>
      <c r="E137">
        <f t="shared" si="69"/>
        <v>0.38596556316357417</v>
      </c>
      <c r="H137" s="4"/>
      <c r="I137" s="4"/>
      <c r="J137" s="4"/>
      <c r="K137" s="4"/>
    </row>
    <row r="138" spans="1:11" x14ac:dyDescent="0.25">
      <c r="B138" t="str">
        <f t="shared" si="67"/>
        <v>Cowcalf</v>
      </c>
      <c r="C138">
        <f t="shared" ref="C138:E138" si="70">C84</f>
        <v>2.0019220309243413E-2</v>
      </c>
      <c r="D138">
        <f t="shared" si="70"/>
        <v>9.2522672890536062E-2</v>
      </c>
      <c r="E138">
        <f t="shared" si="70"/>
        <v>0.15001904223920623</v>
      </c>
      <c r="H138" s="4"/>
      <c r="I138" s="4"/>
      <c r="J138" s="4"/>
      <c r="K138" s="4"/>
    </row>
    <row r="139" spans="1:11" x14ac:dyDescent="0.25">
      <c r="B139" t="str">
        <f t="shared" si="67"/>
        <v>Finisher</v>
      </c>
      <c r="C139">
        <f t="shared" ref="C139:E139" si="71">C85</f>
        <v>5.3182961871764585</v>
      </c>
      <c r="D139">
        <f t="shared" si="71"/>
        <v>7.088110217691594</v>
      </c>
      <c r="E139">
        <f t="shared" si="71"/>
        <v>6.1560286644571258</v>
      </c>
      <c r="H139" s="4"/>
      <c r="I139" s="4"/>
      <c r="J139" s="4"/>
      <c r="K139" s="4"/>
    </row>
    <row r="140" spans="1:11" x14ac:dyDescent="0.25">
      <c r="B140" t="str">
        <f t="shared" si="67"/>
        <v>Dairy</v>
      </c>
      <c r="C140">
        <f t="shared" ref="C140:E140" si="72">C86</f>
        <v>3.0271361942572905E-2</v>
      </c>
      <c r="D140">
        <f t="shared" si="72"/>
        <v>1.4765740788097195</v>
      </c>
      <c r="E140">
        <f t="shared" si="72"/>
        <v>6.3853780054327789</v>
      </c>
      <c r="H140" s="4"/>
      <c r="I140" s="4"/>
      <c r="J140" s="4"/>
      <c r="K140" s="4"/>
    </row>
    <row r="141" spans="1:11" x14ac:dyDescent="0.25">
      <c r="B141" t="str">
        <f t="shared" si="67"/>
        <v>Sheep</v>
      </c>
      <c r="C141">
        <f t="shared" ref="C141:E141" si="73">C87</f>
        <v>11.794047385286973</v>
      </c>
      <c r="D141">
        <f t="shared" si="73"/>
        <v>9.6481198260451801</v>
      </c>
      <c r="E141">
        <f t="shared" si="73"/>
        <v>9.0810136627013929</v>
      </c>
      <c r="H141" s="4"/>
      <c r="I141" s="4"/>
      <c r="J141" s="4"/>
      <c r="K141" s="4"/>
    </row>
    <row r="142" spans="1:11" x14ac:dyDescent="0.25">
      <c r="H142" s="4"/>
      <c r="I142" s="4"/>
      <c r="J142" s="4"/>
      <c r="K142" s="4"/>
    </row>
    <row r="143" spans="1:11" x14ac:dyDescent="0.25">
      <c r="A143" t="str">
        <f>H85</f>
        <v>+20% Exotic</v>
      </c>
      <c r="B143" s="42" t="str">
        <f>B134</f>
        <v>Animal populations (M hd) -- SA scenario specific</v>
      </c>
      <c r="C143" s="42"/>
      <c r="D143" s="42"/>
      <c r="E143" s="42"/>
      <c r="H143" s="4"/>
      <c r="I143" s="4"/>
      <c r="J143" s="4"/>
      <c r="K143" s="4"/>
    </row>
    <row r="144" spans="1:11" x14ac:dyDescent="0.25">
      <c r="B144" t="str">
        <f>B135</f>
        <v>Pastoral</v>
      </c>
      <c r="C144">
        <f>C81</f>
        <v>0.49402322991933489</v>
      </c>
      <c r="D144">
        <f t="shared" ref="D144:E144" si="74">D81</f>
        <v>0.48640304349731928</v>
      </c>
      <c r="E144">
        <f t="shared" si="74"/>
        <v>0</v>
      </c>
      <c r="H144" s="4"/>
      <c r="I144" s="4"/>
      <c r="J144" s="4"/>
      <c r="K144" s="4"/>
    </row>
    <row r="145" spans="1:11" x14ac:dyDescent="0.25">
      <c r="B145" t="str">
        <f t="shared" ref="B145:B150" si="75">B136</f>
        <v>Agropastoral</v>
      </c>
      <c r="C145">
        <f t="shared" ref="C145:E145" si="76">C82</f>
        <v>0</v>
      </c>
      <c r="D145">
        <f t="shared" si="76"/>
        <v>2.5194151670693041</v>
      </c>
      <c r="E145">
        <f t="shared" si="76"/>
        <v>2.1101718564805916</v>
      </c>
      <c r="H145" s="4"/>
      <c r="I145" s="4"/>
      <c r="J145" s="4"/>
      <c r="K145" s="4"/>
    </row>
    <row r="146" spans="1:11" x14ac:dyDescent="0.25">
      <c r="B146" t="str">
        <f t="shared" si="75"/>
        <v>Mixed</v>
      </c>
      <c r="C146">
        <f t="shared" ref="C146:E146" si="77">C83</f>
        <v>0</v>
      </c>
      <c r="D146">
        <f t="shared" si="77"/>
        <v>0</v>
      </c>
      <c r="E146">
        <f t="shared" si="77"/>
        <v>0.38596556316357417</v>
      </c>
      <c r="H146" s="4"/>
      <c r="I146" s="4"/>
      <c r="J146" s="4"/>
      <c r="K146" s="4"/>
    </row>
    <row r="147" spans="1:11" x14ac:dyDescent="0.25">
      <c r="B147" t="str">
        <f t="shared" si="75"/>
        <v>Cowcalf</v>
      </c>
      <c r="C147">
        <f t="shared" ref="C147:E147" si="78">C84</f>
        <v>2.0019220309243413E-2</v>
      </c>
      <c r="D147">
        <f t="shared" si="78"/>
        <v>9.2522672890536062E-2</v>
      </c>
      <c r="E147">
        <f t="shared" si="78"/>
        <v>0.15001904223920623</v>
      </c>
      <c r="H147" s="4"/>
      <c r="I147" s="4"/>
      <c r="J147" s="4"/>
      <c r="K147" s="4"/>
    </row>
    <row r="148" spans="1:11" x14ac:dyDescent="0.25">
      <c r="B148" t="str">
        <f t="shared" si="75"/>
        <v>Finisher</v>
      </c>
      <c r="C148">
        <f t="shared" ref="C148:E148" si="79">C85</f>
        <v>5.3182961871764585</v>
      </c>
      <c r="D148">
        <f t="shared" si="79"/>
        <v>7.088110217691594</v>
      </c>
      <c r="E148">
        <f t="shared" si="79"/>
        <v>6.1560286644571258</v>
      </c>
      <c r="H148" s="4"/>
      <c r="I148" s="4"/>
      <c r="J148" s="4"/>
      <c r="K148" s="4"/>
    </row>
    <row r="149" spans="1:11" x14ac:dyDescent="0.25">
      <c r="B149" t="str">
        <f t="shared" si="75"/>
        <v>Dairy</v>
      </c>
      <c r="C149">
        <f t="shared" ref="C149:E149" si="80">C86</f>
        <v>3.0271361942572905E-2</v>
      </c>
      <c r="D149">
        <f t="shared" si="80"/>
        <v>1.4765740788097195</v>
      </c>
      <c r="E149">
        <f t="shared" si="80"/>
        <v>6.3853780054327789</v>
      </c>
      <c r="H149" s="4"/>
      <c r="I149" s="4"/>
      <c r="J149" s="4"/>
      <c r="K149" s="4"/>
    </row>
    <row r="150" spans="1:11" x14ac:dyDescent="0.25">
      <c r="B150" t="str">
        <f t="shared" si="75"/>
        <v>Sheep</v>
      </c>
      <c r="C150">
        <f t="shared" ref="C150:E150" si="81">C87</f>
        <v>11.794047385286973</v>
      </c>
      <c r="D150">
        <f t="shared" si="81"/>
        <v>9.6481198260451801</v>
      </c>
      <c r="E150">
        <f t="shared" si="81"/>
        <v>9.0810136627013929</v>
      </c>
      <c r="H150" s="4"/>
      <c r="I150" s="4"/>
      <c r="J150" s="4"/>
      <c r="K150" s="4"/>
    </row>
    <row r="151" spans="1:11" x14ac:dyDescent="0.25">
      <c r="H151" s="4"/>
      <c r="I151" s="4"/>
      <c r="J151" s="4"/>
      <c r="K151" s="4"/>
    </row>
    <row r="152" spans="1:11" x14ac:dyDescent="0.25">
      <c r="A152" t="str">
        <f>H86</f>
        <v>-20% Exotic</v>
      </c>
      <c r="B152" s="42" t="str">
        <f>B143</f>
        <v>Animal populations (M hd) -- SA scenario specific</v>
      </c>
      <c r="C152" s="42"/>
      <c r="D152" s="42"/>
      <c r="E152" s="42"/>
      <c r="H152" s="4"/>
      <c r="I152" s="4"/>
      <c r="J152" s="4"/>
      <c r="K152" s="4"/>
    </row>
    <row r="153" spans="1:11" x14ac:dyDescent="0.25">
      <c r="B153" t="str">
        <f>B144</f>
        <v>Pastoral</v>
      </c>
      <c r="C153">
        <f>C81</f>
        <v>0.49402322991933489</v>
      </c>
      <c r="D153">
        <f t="shared" ref="D153:E153" si="82">D81</f>
        <v>0.48640304349731928</v>
      </c>
      <c r="E153">
        <f t="shared" si="82"/>
        <v>0</v>
      </c>
      <c r="H153" s="4"/>
      <c r="I153" s="4"/>
      <c r="J153" s="4"/>
      <c r="K153" s="4"/>
    </row>
    <row r="154" spans="1:11" x14ac:dyDescent="0.25">
      <c r="B154" t="str">
        <f t="shared" ref="B154:B159" si="83">B145</f>
        <v>Agropastoral</v>
      </c>
      <c r="C154">
        <f t="shared" ref="C154:E154" si="84">C82</f>
        <v>0</v>
      </c>
      <c r="D154">
        <f t="shared" si="84"/>
        <v>2.5194151670693041</v>
      </c>
      <c r="E154">
        <f t="shared" si="84"/>
        <v>2.1101718564805916</v>
      </c>
      <c r="H154" s="4"/>
      <c r="I154" s="4"/>
      <c r="J154" s="4"/>
      <c r="K154" s="4"/>
    </row>
    <row r="155" spans="1:11" x14ac:dyDescent="0.25">
      <c r="B155" t="str">
        <f t="shared" si="83"/>
        <v>Mixed</v>
      </c>
      <c r="C155">
        <f t="shared" ref="C155:E155" si="85">C83</f>
        <v>0</v>
      </c>
      <c r="D155">
        <f t="shared" si="85"/>
        <v>0</v>
      </c>
      <c r="E155">
        <f t="shared" si="85"/>
        <v>0.38596556316357417</v>
      </c>
      <c r="H155" s="4"/>
      <c r="I155" s="4"/>
      <c r="J155" s="4"/>
      <c r="K155" s="4"/>
    </row>
    <row r="156" spans="1:11" x14ac:dyDescent="0.25">
      <c r="B156" t="str">
        <f t="shared" si="83"/>
        <v>Cowcalf</v>
      </c>
      <c r="C156">
        <f t="shared" ref="C156:E156" si="86">C84</f>
        <v>2.0019220309243413E-2</v>
      </c>
      <c r="D156">
        <f t="shared" si="86"/>
        <v>9.2522672890536062E-2</v>
      </c>
      <c r="E156">
        <f t="shared" si="86"/>
        <v>0.15001904223920623</v>
      </c>
      <c r="H156" s="4"/>
      <c r="I156" s="4"/>
      <c r="J156" s="4"/>
      <c r="K156" s="4"/>
    </row>
    <row r="157" spans="1:11" x14ac:dyDescent="0.25">
      <c r="B157" t="str">
        <f t="shared" si="83"/>
        <v>Finisher</v>
      </c>
      <c r="C157">
        <f t="shared" ref="C157:E157" si="87">C85</f>
        <v>5.3182961871764585</v>
      </c>
      <c r="D157">
        <f t="shared" si="87"/>
        <v>7.088110217691594</v>
      </c>
      <c r="E157">
        <f t="shared" si="87"/>
        <v>6.1560286644571258</v>
      </c>
      <c r="H157" s="4"/>
      <c r="I157" s="4"/>
      <c r="J157" s="4"/>
      <c r="K157" s="4"/>
    </row>
    <row r="158" spans="1:11" x14ac:dyDescent="0.25">
      <c r="B158" t="str">
        <f t="shared" si="83"/>
        <v>Dairy</v>
      </c>
      <c r="C158">
        <f t="shared" ref="C158:E158" si="88">C86</f>
        <v>3.0271361942572905E-2</v>
      </c>
      <c r="D158">
        <f t="shared" si="88"/>
        <v>1.4765740788097195</v>
      </c>
      <c r="E158">
        <f t="shared" si="88"/>
        <v>6.3853780054327789</v>
      </c>
      <c r="H158" s="4"/>
      <c r="I158" s="4"/>
      <c r="J158" s="4"/>
      <c r="K158" s="4"/>
    </row>
    <row r="159" spans="1:11" x14ac:dyDescent="0.25">
      <c r="B159" t="str">
        <f t="shared" si="83"/>
        <v>Sheep</v>
      </c>
      <c r="C159">
        <f t="shared" ref="C159:E159" si="89">C87</f>
        <v>11.794047385286973</v>
      </c>
      <c r="D159">
        <f t="shared" si="89"/>
        <v>9.6481198260451801</v>
      </c>
      <c r="E159">
        <f t="shared" si="89"/>
        <v>9.0810136627013929</v>
      </c>
      <c r="H159" s="4"/>
      <c r="I159" s="4"/>
      <c r="J159" s="4"/>
      <c r="K159" s="4"/>
    </row>
    <row r="160" spans="1:11" x14ac:dyDescent="0.25">
      <c r="H160" s="4"/>
      <c r="I160" s="4"/>
      <c r="J160" s="4"/>
      <c r="K160" s="4"/>
    </row>
    <row r="161" spans="1:11" x14ac:dyDescent="0.25">
      <c r="A161" t="str">
        <f>H87</f>
        <v>+20% Finisher:Breeder</v>
      </c>
      <c r="B161" s="42" t="str">
        <f>B152</f>
        <v>Animal populations (M hd) -- SA scenario specific</v>
      </c>
      <c r="C161" s="42"/>
      <c r="D161" s="42"/>
      <c r="E161" s="42"/>
      <c r="H161" s="4"/>
      <c r="I161" s="4"/>
      <c r="J161" s="4"/>
      <c r="K161" s="4"/>
    </row>
    <row r="162" spans="1:11" x14ac:dyDescent="0.25">
      <c r="B162" t="str">
        <f>B153</f>
        <v>Pastoral</v>
      </c>
      <c r="C162">
        <f>C81</f>
        <v>0.49402322991933489</v>
      </c>
      <c r="D162">
        <f t="shared" ref="D162:E162" si="90">D81</f>
        <v>0.48640304349731928</v>
      </c>
      <c r="E162">
        <f t="shared" si="90"/>
        <v>0</v>
      </c>
      <c r="H162" s="4"/>
      <c r="I162" s="4"/>
      <c r="J162" s="4"/>
      <c r="K162" s="4"/>
    </row>
    <row r="163" spans="1:11" x14ac:dyDescent="0.25">
      <c r="B163" t="str">
        <f t="shared" ref="B163:B168" si="91">B154</f>
        <v>Agropastoral</v>
      </c>
      <c r="C163">
        <f t="shared" ref="C163:E163" si="92">C82</f>
        <v>0</v>
      </c>
      <c r="D163">
        <f t="shared" si="92"/>
        <v>2.5194151670693041</v>
      </c>
      <c r="E163">
        <f t="shared" si="92"/>
        <v>2.1101718564805916</v>
      </c>
      <c r="H163" s="4"/>
      <c r="I163" s="4"/>
      <c r="J163" s="4"/>
      <c r="K163" s="4"/>
    </row>
    <row r="164" spans="1:11" x14ac:dyDescent="0.25">
      <c r="B164" t="str">
        <f t="shared" si="91"/>
        <v>Mixed</v>
      </c>
      <c r="C164">
        <f t="shared" ref="C164:E164" si="93">C83</f>
        <v>0</v>
      </c>
      <c r="D164">
        <f t="shared" si="93"/>
        <v>0</v>
      </c>
      <c r="E164">
        <f t="shared" si="93"/>
        <v>0.38596556316357417</v>
      </c>
      <c r="H164" s="4"/>
      <c r="I164" s="4"/>
      <c r="J164" s="4"/>
      <c r="K164" s="4"/>
    </row>
    <row r="165" spans="1:11" x14ac:dyDescent="0.25">
      <c r="B165" t="str">
        <f t="shared" si="91"/>
        <v>Cowcalf</v>
      </c>
      <c r="C165">
        <f t="shared" ref="C165:E165" si="94">C84</f>
        <v>2.0019220309243413E-2</v>
      </c>
      <c r="D165">
        <f t="shared" si="94"/>
        <v>9.2522672890536062E-2</v>
      </c>
      <c r="E165">
        <f t="shared" si="94"/>
        <v>0.15001904223920623</v>
      </c>
      <c r="H165" s="4"/>
      <c r="I165" s="4"/>
      <c r="J165" s="4"/>
      <c r="K165" s="4"/>
    </row>
    <row r="166" spans="1:11" x14ac:dyDescent="0.25">
      <c r="B166" t="str">
        <f t="shared" si="91"/>
        <v>Finisher</v>
      </c>
      <c r="C166">
        <f t="shared" ref="C166:E166" si="95">C85</f>
        <v>5.3182961871764585</v>
      </c>
      <c r="D166">
        <f t="shared" si="95"/>
        <v>7.088110217691594</v>
      </c>
      <c r="E166">
        <f t="shared" si="95"/>
        <v>6.1560286644571258</v>
      </c>
      <c r="H166" s="4"/>
      <c r="I166" s="4"/>
      <c r="J166" s="4"/>
      <c r="K166" s="4"/>
    </row>
    <row r="167" spans="1:11" x14ac:dyDescent="0.25">
      <c r="B167" t="str">
        <f t="shared" si="91"/>
        <v>Dairy</v>
      </c>
      <c r="C167">
        <f t="shared" ref="C167:E167" si="96">C86</f>
        <v>3.0271361942572905E-2</v>
      </c>
      <c r="D167">
        <f t="shared" si="96"/>
        <v>1.4765740788097195</v>
      </c>
      <c r="E167">
        <f t="shared" si="96"/>
        <v>6.3853780054327789</v>
      </c>
      <c r="H167" s="4"/>
      <c r="I167" s="4"/>
      <c r="J167" s="4"/>
      <c r="K167" s="4"/>
    </row>
    <row r="168" spans="1:11" x14ac:dyDescent="0.25">
      <c r="B168" t="str">
        <f t="shared" si="91"/>
        <v>Sheep</v>
      </c>
      <c r="C168">
        <f t="shared" ref="C168:E168" si="97">C87</f>
        <v>11.794047385286973</v>
      </c>
      <c r="D168">
        <f t="shared" si="97"/>
        <v>9.6481198260451801</v>
      </c>
      <c r="E168">
        <f t="shared" si="97"/>
        <v>9.0810136627013929</v>
      </c>
      <c r="H168" s="4"/>
      <c r="I168" s="4"/>
      <c r="J168" s="4"/>
      <c r="K168" s="4"/>
    </row>
    <row r="169" spans="1:11" x14ac:dyDescent="0.25">
      <c r="H169" s="4"/>
      <c r="I169" s="4"/>
      <c r="J169" s="4"/>
      <c r="K169" s="4"/>
    </row>
    <row r="170" spans="1:11" x14ac:dyDescent="0.25">
      <c r="A170" t="str">
        <f>H88</f>
        <v>-20% Finisher:Breeder</v>
      </c>
      <c r="B170" s="42" t="str">
        <f>B161</f>
        <v>Animal populations (M hd) -- SA scenario specific</v>
      </c>
      <c r="C170" s="42"/>
      <c r="D170" s="42"/>
      <c r="E170" s="42"/>
      <c r="H170" s="4"/>
      <c r="I170" s="4"/>
      <c r="J170" s="4"/>
      <c r="K170" s="4"/>
    </row>
    <row r="171" spans="1:11" x14ac:dyDescent="0.25">
      <c r="B171" t="str">
        <f>B162</f>
        <v>Pastoral</v>
      </c>
      <c r="C171">
        <f>C81</f>
        <v>0.49402322991933489</v>
      </c>
      <c r="D171">
        <f t="shared" ref="D171:E171" si="98">D81</f>
        <v>0.48640304349731928</v>
      </c>
      <c r="E171">
        <f t="shared" si="98"/>
        <v>0</v>
      </c>
      <c r="H171" s="4"/>
      <c r="I171" s="4"/>
      <c r="J171" s="4"/>
      <c r="K171" s="4"/>
    </row>
    <row r="172" spans="1:11" x14ac:dyDescent="0.25">
      <c r="B172" t="str">
        <f t="shared" ref="B172:B235" si="99">B163</f>
        <v>Agropastoral</v>
      </c>
      <c r="C172">
        <f t="shared" ref="C172:E172" si="100">C82</f>
        <v>0</v>
      </c>
      <c r="D172">
        <f t="shared" si="100"/>
        <v>2.5194151670693041</v>
      </c>
      <c r="E172">
        <f t="shared" si="100"/>
        <v>2.1101718564805916</v>
      </c>
      <c r="H172" s="4"/>
      <c r="I172" s="4"/>
      <c r="J172" s="4"/>
      <c r="K172" s="4"/>
    </row>
    <row r="173" spans="1:11" x14ac:dyDescent="0.25">
      <c r="B173" t="str">
        <f t="shared" si="99"/>
        <v>Mixed</v>
      </c>
      <c r="C173">
        <f t="shared" ref="C173:E173" si="101">C83</f>
        <v>0</v>
      </c>
      <c r="D173">
        <f t="shared" si="101"/>
        <v>0</v>
      </c>
      <c r="E173">
        <f t="shared" si="101"/>
        <v>0.38596556316357417</v>
      </c>
      <c r="H173" s="4"/>
      <c r="I173" s="4"/>
      <c r="J173" s="4"/>
      <c r="K173" s="4"/>
    </row>
    <row r="174" spans="1:11" x14ac:dyDescent="0.25">
      <c r="B174" t="str">
        <f t="shared" si="99"/>
        <v>Cowcalf</v>
      </c>
      <c r="C174">
        <f t="shared" ref="C174:E174" si="102">C84</f>
        <v>2.0019220309243413E-2</v>
      </c>
      <c r="D174">
        <f t="shared" si="102"/>
        <v>9.2522672890536062E-2</v>
      </c>
      <c r="E174">
        <f t="shared" si="102"/>
        <v>0.15001904223920623</v>
      </c>
      <c r="H174" s="4"/>
      <c r="I174" s="4"/>
      <c r="J174" s="4"/>
      <c r="K174" s="4"/>
    </row>
    <row r="175" spans="1:11" x14ac:dyDescent="0.25">
      <c r="B175" t="str">
        <f t="shared" si="99"/>
        <v>Finisher</v>
      </c>
      <c r="C175">
        <f t="shared" ref="C175:E175" si="103">C85</f>
        <v>5.3182961871764585</v>
      </c>
      <c r="D175">
        <f t="shared" si="103"/>
        <v>7.088110217691594</v>
      </c>
      <c r="E175">
        <f t="shared" si="103"/>
        <v>6.1560286644571258</v>
      </c>
      <c r="H175" s="4"/>
      <c r="I175" s="4"/>
      <c r="J175" s="4"/>
      <c r="K175" s="4"/>
    </row>
    <row r="176" spans="1:11" x14ac:dyDescent="0.25">
      <c r="B176" t="str">
        <f t="shared" si="99"/>
        <v>Dairy</v>
      </c>
      <c r="C176">
        <f t="shared" ref="C176:E176" si="104">C86</f>
        <v>3.0271361942572905E-2</v>
      </c>
      <c r="D176">
        <f t="shared" si="104"/>
        <v>1.4765740788097195</v>
      </c>
      <c r="E176">
        <f t="shared" si="104"/>
        <v>6.3853780054327789</v>
      </c>
      <c r="H176" s="4"/>
      <c r="I176" s="4"/>
      <c r="J176" s="4"/>
      <c r="K176" s="4"/>
    </row>
    <row r="177" spans="1:11" x14ac:dyDescent="0.25">
      <c r="B177" t="str">
        <f t="shared" si="99"/>
        <v>Sheep</v>
      </c>
      <c r="C177">
        <f t="shared" ref="C177:E177" si="105">C87</f>
        <v>11.794047385286973</v>
      </c>
      <c r="D177">
        <f t="shared" si="105"/>
        <v>9.6481198260451801</v>
      </c>
      <c r="E177">
        <f t="shared" si="105"/>
        <v>9.0810136627013929</v>
      </c>
      <c r="H177" s="4"/>
      <c r="I177" s="4"/>
      <c r="J177" s="4"/>
      <c r="K177" s="4"/>
    </row>
    <row r="178" spans="1:11" x14ac:dyDescent="0.25">
      <c r="H178" s="4"/>
      <c r="I178" s="4"/>
      <c r="J178" s="4"/>
      <c r="K178" s="4"/>
    </row>
    <row r="179" spans="1:11" x14ac:dyDescent="0.25">
      <c r="A179" t="str">
        <f>H89</f>
        <v>+20% Pastoral:Agropastoral</v>
      </c>
      <c r="B179" s="42" t="str">
        <f>B170</f>
        <v>Animal populations (M hd) -- SA scenario specific</v>
      </c>
      <c r="C179" s="42"/>
      <c r="D179" s="42"/>
      <c r="E179" s="42"/>
      <c r="H179" s="4"/>
      <c r="I179" s="4"/>
      <c r="J179" s="4"/>
      <c r="K179" s="4"/>
    </row>
    <row r="180" spans="1:11" x14ac:dyDescent="0.25">
      <c r="B180" t="str">
        <f t="shared" si="99"/>
        <v>Pastoral</v>
      </c>
      <c r="C180" s="40">
        <f>C81*$I$89</f>
        <v>0.64223019889513533</v>
      </c>
      <c r="D180" s="40">
        <f>D81*$I$89</f>
        <v>0.63232395654651508</v>
      </c>
      <c r="E180" s="40">
        <f>E81*$I$89</f>
        <v>0</v>
      </c>
      <c r="H180" s="4"/>
      <c r="I180" s="4"/>
      <c r="J180" s="4"/>
      <c r="K180" s="4"/>
    </row>
    <row r="181" spans="1:11" x14ac:dyDescent="0.25">
      <c r="B181" t="str">
        <f t="shared" si="99"/>
        <v>Agropastoral</v>
      </c>
      <c r="C181" s="40">
        <f>C82*$I$90</f>
        <v>0</v>
      </c>
      <c r="D181" s="40">
        <f>D82*$I$90</f>
        <v>2.0155321336554435</v>
      </c>
      <c r="E181" s="40">
        <f>E82*$I$90</f>
        <v>1.6881374851844733</v>
      </c>
      <c r="H181" s="4"/>
      <c r="I181" s="4"/>
      <c r="J181" s="4"/>
      <c r="K181" s="4"/>
    </row>
    <row r="182" spans="1:11" x14ac:dyDescent="0.25">
      <c r="B182" t="str">
        <f t="shared" si="99"/>
        <v>Mixed</v>
      </c>
      <c r="C182">
        <f t="shared" ref="C182:E182" si="106">C83</f>
        <v>0</v>
      </c>
      <c r="D182">
        <f t="shared" si="106"/>
        <v>0</v>
      </c>
      <c r="E182">
        <f t="shared" si="106"/>
        <v>0.38596556316357417</v>
      </c>
      <c r="H182" s="4"/>
      <c r="I182" s="4"/>
      <c r="J182" s="4"/>
      <c r="K182" s="4"/>
    </row>
    <row r="183" spans="1:11" x14ac:dyDescent="0.25">
      <c r="B183" t="str">
        <f t="shared" si="99"/>
        <v>Cowcalf</v>
      </c>
      <c r="C183">
        <f t="shared" ref="C183:E183" si="107">C84</f>
        <v>2.0019220309243413E-2</v>
      </c>
      <c r="D183">
        <f t="shared" si="107"/>
        <v>9.2522672890536062E-2</v>
      </c>
      <c r="E183">
        <f t="shared" si="107"/>
        <v>0.15001904223920623</v>
      </c>
      <c r="H183" s="4"/>
      <c r="I183" s="4"/>
      <c r="J183" s="4"/>
      <c r="K183" s="4"/>
    </row>
    <row r="184" spans="1:11" x14ac:dyDescent="0.25">
      <c r="B184" t="str">
        <f t="shared" si="99"/>
        <v>Finisher</v>
      </c>
      <c r="C184">
        <f t="shared" ref="C184:E184" si="108">C85</f>
        <v>5.3182961871764585</v>
      </c>
      <c r="D184">
        <f t="shared" si="108"/>
        <v>7.088110217691594</v>
      </c>
      <c r="E184">
        <f t="shared" si="108"/>
        <v>6.1560286644571258</v>
      </c>
      <c r="H184" s="4"/>
      <c r="I184" s="4"/>
      <c r="J184" s="4"/>
      <c r="K184" s="4"/>
    </row>
    <row r="185" spans="1:11" x14ac:dyDescent="0.25">
      <c r="B185" t="str">
        <f t="shared" si="99"/>
        <v>Dairy</v>
      </c>
      <c r="C185">
        <f t="shared" ref="C185:E185" si="109">C86</f>
        <v>3.0271361942572905E-2</v>
      </c>
      <c r="D185">
        <f t="shared" si="109"/>
        <v>1.4765740788097195</v>
      </c>
      <c r="E185">
        <f t="shared" si="109"/>
        <v>6.3853780054327789</v>
      </c>
      <c r="H185" s="4"/>
      <c r="I185" s="4"/>
      <c r="J185" s="4"/>
      <c r="K185" s="4"/>
    </row>
    <row r="186" spans="1:11" x14ac:dyDescent="0.25">
      <c r="B186" t="str">
        <f t="shared" si="99"/>
        <v>Sheep</v>
      </c>
      <c r="C186">
        <f t="shared" ref="C186:E186" si="110">C87</f>
        <v>11.794047385286973</v>
      </c>
      <c r="D186">
        <f t="shared" si="110"/>
        <v>9.6481198260451801</v>
      </c>
      <c r="E186">
        <f t="shared" si="110"/>
        <v>9.0810136627013929</v>
      </c>
      <c r="H186" s="4"/>
      <c r="I186" s="4"/>
      <c r="J186" s="4"/>
      <c r="K186" s="4"/>
    </row>
    <row r="187" spans="1:11" x14ac:dyDescent="0.25">
      <c r="H187" s="4"/>
      <c r="I187" s="4"/>
      <c r="J187" s="4"/>
      <c r="K187" s="4"/>
    </row>
    <row r="188" spans="1:11" x14ac:dyDescent="0.25">
      <c r="A188" t="str">
        <f>H90</f>
        <v>-20% Pastoral:Agropastoral</v>
      </c>
      <c r="B188" s="42" t="str">
        <f>B179</f>
        <v>Animal populations (M hd) -- SA scenario specific</v>
      </c>
      <c r="C188" s="42"/>
      <c r="D188" s="42"/>
      <c r="E188" s="42"/>
      <c r="H188" s="4"/>
      <c r="I188" s="4"/>
      <c r="J188" s="4"/>
      <c r="K188" s="4"/>
    </row>
    <row r="189" spans="1:11" x14ac:dyDescent="0.25">
      <c r="B189" t="str">
        <f t="shared" si="99"/>
        <v>Pastoral</v>
      </c>
      <c r="C189" s="40">
        <f>C81*$I$90</f>
        <v>0.39521858393546794</v>
      </c>
      <c r="D189" s="40">
        <f>D81*$I$90</f>
        <v>0.38912243479785547</v>
      </c>
      <c r="E189" s="40">
        <f>E81*$I$90</f>
        <v>0</v>
      </c>
      <c r="H189" s="4"/>
      <c r="I189" s="4"/>
      <c r="J189" s="4"/>
      <c r="K189" s="4"/>
    </row>
    <row r="190" spans="1:11" x14ac:dyDescent="0.25">
      <c r="B190" t="str">
        <f t="shared" si="99"/>
        <v>Agropastoral</v>
      </c>
      <c r="C190" s="40">
        <f>C82*$I$89</f>
        <v>0</v>
      </c>
      <c r="D190" s="40">
        <f>D82*$I$89</f>
        <v>3.2752397171900953</v>
      </c>
      <c r="E190" s="40">
        <f>E82*$I$89</f>
        <v>2.7432234134247691</v>
      </c>
      <c r="H190" s="4"/>
      <c r="I190" s="4"/>
      <c r="J190" s="4"/>
      <c r="K190" s="4"/>
    </row>
    <row r="191" spans="1:11" x14ac:dyDescent="0.25">
      <c r="B191" t="str">
        <f t="shared" si="99"/>
        <v>Mixed</v>
      </c>
      <c r="C191">
        <f t="shared" ref="C191:E191" si="111">C83</f>
        <v>0</v>
      </c>
      <c r="D191">
        <f t="shared" si="111"/>
        <v>0</v>
      </c>
      <c r="E191">
        <f t="shared" si="111"/>
        <v>0.38596556316357417</v>
      </c>
      <c r="H191" s="4"/>
      <c r="I191" s="4"/>
      <c r="J191" s="4"/>
      <c r="K191" s="4"/>
    </row>
    <row r="192" spans="1:11" x14ac:dyDescent="0.25">
      <c r="B192" t="str">
        <f t="shared" si="99"/>
        <v>Cowcalf</v>
      </c>
      <c r="C192">
        <f t="shared" ref="C192:E192" si="112">C84</f>
        <v>2.0019220309243413E-2</v>
      </c>
      <c r="D192">
        <f t="shared" si="112"/>
        <v>9.2522672890536062E-2</v>
      </c>
      <c r="E192">
        <f t="shared" si="112"/>
        <v>0.15001904223920623</v>
      </c>
      <c r="H192" s="4"/>
      <c r="I192" s="4"/>
      <c r="J192" s="4"/>
      <c r="K192" s="4"/>
    </row>
    <row r="193" spans="1:11" x14ac:dyDescent="0.25">
      <c r="B193" t="str">
        <f t="shared" si="99"/>
        <v>Finisher</v>
      </c>
      <c r="C193">
        <f t="shared" ref="C193:E193" si="113">C85</f>
        <v>5.3182961871764585</v>
      </c>
      <c r="D193">
        <f t="shared" si="113"/>
        <v>7.088110217691594</v>
      </c>
      <c r="E193">
        <f t="shared" si="113"/>
        <v>6.1560286644571258</v>
      </c>
      <c r="H193" s="4"/>
      <c r="I193" s="4"/>
      <c r="J193" s="4"/>
      <c r="K193" s="4"/>
    </row>
    <row r="194" spans="1:11" x14ac:dyDescent="0.25">
      <c r="B194" t="str">
        <f t="shared" si="99"/>
        <v>Dairy</v>
      </c>
      <c r="C194">
        <f t="shared" ref="C194:E194" si="114">C86</f>
        <v>3.0271361942572905E-2</v>
      </c>
      <c r="D194">
        <f t="shared" si="114"/>
        <v>1.4765740788097195</v>
      </c>
      <c r="E194">
        <f t="shared" si="114"/>
        <v>6.3853780054327789</v>
      </c>
      <c r="H194" s="4"/>
      <c r="I194" s="4"/>
      <c r="J194" s="4"/>
      <c r="K194" s="4"/>
    </row>
    <row r="195" spans="1:11" x14ac:dyDescent="0.25">
      <c r="B195" t="str">
        <f t="shared" si="99"/>
        <v>Sheep</v>
      </c>
      <c r="C195">
        <f t="shared" ref="C195:E195" si="115">C87</f>
        <v>11.794047385286973</v>
      </c>
      <c r="D195">
        <f t="shared" si="115"/>
        <v>9.6481198260451801</v>
      </c>
      <c r="E195">
        <f t="shared" si="115"/>
        <v>9.0810136627013929</v>
      </c>
      <c r="H195" s="4"/>
      <c r="I195" s="4"/>
      <c r="J195" s="4"/>
      <c r="K195" s="4"/>
    </row>
    <row r="196" spans="1:11" x14ac:dyDescent="0.25">
      <c r="H196" s="4"/>
      <c r="I196" s="4"/>
      <c r="J196" s="4"/>
      <c r="K196" s="4"/>
    </row>
    <row r="197" spans="1:11" x14ac:dyDescent="0.25">
      <c r="A197" t="str">
        <f>H91</f>
        <v>+20% Mixed:Agropastoral</v>
      </c>
      <c r="B197" s="42" t="str">
        <f>B188</f>
        <v>Animal populations (M hd) -- SA scenario specific</v>
      </c>
      <c r="C197" s="42"/>
      <c r="D197" s="42"/>
      <c r="E197" s="42"/>
      <c r="H197" s="4"/>
      <c r="I197" s="4"/>
      <c r="J197" s="4"/>
      <c r="K197" s="4"/>
    </row>
    <row r="198" spans="1:11" x14ac:dyDescent="0.25">
      <c r="B198" t="str">
        <f t="shared" si="99"/>
        <v>Pastoral</v>
      </c>
      <c r="C198">
        <f>C81</f>
        <v>0.49402322991933489</v>
      </c>
      <c r="D198">
        <f t="shared" ref="D198:E198" si="116">D81</f>
        <v>0.48640304349731928</v>
      </c>
      <c r="E198">
        <f t="shared" si="116"/>
        <v>0</v>
      </c>
      <c r="H198" s="4"/>
      <c r="I198" s="4"/>
      <c r="J198" s="4"/>
      <c r="K198" s="4"/>
    </row>
    <row r="199" spans="1:11" x14ac:dyDescent="0.25">
      <c r="B199" t="str">
        <f t="shared" si="99"/>
        <v>Agropastoral</v>
      </c>
      <c r="C199">
        <f t="shared" ref="C199" si="117">C82</f>
        <v>0</v>
      </c>
      <c r="D199" s="40">
        <f>D82*I92</f>
        <v>2.0155321336554435</v>
      </c>
      <c r="E199" s="40">
        <f>E82*I92</f>
        <v>1.6881374851844733</v>
      </c>
      <c r="H199" s="4"/>
      <c r="I199" s="4"/>
      <c r="J199" s="4"/>
      <c r="K199" s="4"/>
    </row>
    <row r="200" spans="1:11" x14ac:dyDescent="0.25">
      <c r="B200" t="str">
        <f>B191</f>
        <v>Mixed</v>
      </c>
      <c r="C200">
        <f t="shared" ref="C200:D200" si="118">C83</f>
        <v>0</v>
      </c>
      <c r="D200" s="40">
        <f t="shared" si="118"/>
        <v>0</v>
      </c>
      <c r="E200" s="40">
        <f>E83*I91</f>
        <v>0.50175523211264639</v>
      </c>
      <c r="H200" s="4"/>
      <c r="I200" s="4"/>
      <c r="J200" s="4"/>
      <c r="K200" s="4"/>
    </row>
    <row r="201" spans="1:11" x14ac:dyDescent="0.25">
      <c r="B201" t="str">
        <f t="shared" si="99"/>
        <v>Cowcalf</v>
      </c>
      <c r="C201">
        <f t="shared" ref="C201:E201" si="119">C84</f>
        <v>2.0019220309243413E-2</v>
      </c>
      <c r="D201">
        <f t="shared" si="119"/>
        <v>9.2522672890536062E-2</v>
      </c>
      <c r="E201">
        <f t="shared" si="119"/>
        <v>0.15001904223920623</v>
      </c>
      <c r="H201" s="4"/>
      <c r="I201" s="4"/>
      <c r="J201" s="4"/>
      <c r="K201" s="4"/>
    </row>
    <row r="202" spans="1:11" x14ac:dyDescent="0.25">
      <c r="B202" t="str">
        <f t="shared" si="99"/>
        <v>Finisher</v>
      </c>
      <c r="C202">
        <f t="shared" ref="C202:E202" si="120">C85</f>
        <v>5.3182961871764585</v>
      </c>
      <c r="D202">
        <f t="shared" si="120"/>
        <v>7.088110217691594</v>
      </c>
      <c r="E202">
        <f t="shared" si="120"/>
        <v>6.1560286644571258</v>
      </c>
      <c r="H202" s="4"/>
      <c r="I202" s="4"/>
      <c r="J202" s="4"/>
      <c r="K202" s="4"/>
    </row>
    <row r="203" spans="1:11" x14ac:dyDescent="0.25">
      <c r="B203" t="str">
        <f t="shared" si="99"/>
        <v>Dairy</v>
      </c>
      <c r="C203">
        <f t="shared" ref="C203:E203" si="121">C86</f>
        <v>3.0271361942572905E-2</v>
      </c>
      <c r="D203">
        <f t="shared" si="121"/>
        <v>1.4765740788097195</v>
      </c>
      <c r="E203">
        <f t="shared" si="121"/>
        <v>6.3853780054327789</v>
      </c>
      <c r="H203" s="4"/>
      <c r="I203" s="4"/>
      <c r="J203" s="4"/>
      <c r="K203" s="4"/>
    </row>
    <row r="204" spans="1:11" x14ac:dyDescent="0.25">
      <c r="B204" t="str">
        <f t="shared" si="99"/>
        <v>Sheep</v>
      </c>
      <c r="C204">
        <f t="shared" ref="C204:E204" si="122">C87</f>
        <v>11.794047385286973</v>
      </c>
      <c r="D204">
        <f t="shared" si="122"/>
        <v>9.6481198260451801</v>
      </c>
      <c r="E204">
        <f t="shared" si="122"/>
        <v>9.0810136627013929</v>
      </c>
      <c r="H204" s="4"/>
      <c r="I204" s="4"/>
      <c r="J204" s="4"/>
      <c r="K204" s="4"/>
    </row>
    <row r="205" spans="1:11" x14ac:dyDescent="0.25">
      <c r="H205" s="4"/>
      <c r="I205" s="4"/>
      <c r="J205" s="4"/>
      <c r="K205" s="4"/>
    </row>
    <row r="206" spans="1:11" x14ac:dyDescent="0.25">
      <c r="A206" t="str">
        <f>H92</f>
        <v>-20% Mixed:Agropastoral</v>
      </c>
      <c r="B206" s="42" t="str">
        <f>B197</f>
        <v>Animal populations (M hd) -- SA scenario specific</v>
      </c>
      <c r="C206" s="42"/>
      <c r="D206" s="42"/>
      <c r="E206" s="42"/>
      <c r="H206" s="4"/>
      <c r="I206" s="4"/>
      <c r="J206" s="4"/>
      <c r="K206" s="4"/>
    </row>
    <row r="207" spans="1:11" x14ac:dyDescent="0.25">
      <c r="B207" t="str">
        <f t="shared" si="99"/>
        <v>Pastoral</v>
      </c>
      <c r="C207">
        <f>C81</f>
        <v>0.49402322991933489</v>
      </c>
      <c r="D207">
        <f t="shared" ref="D207:E207" si="123">D81</f>
        <v>0.48640304349731928</v>
      </c>
      <c r="E207">
        <f t="shared" si="123"/>
        <v>0</v>
      </c>
      <c r="H207" s="4"/>
      <c r="I207" s="4"/>
      <c r="J207" s="4"/>
      <c r="K207" s="4"/>
    </row>
    <row r="208" spans="1:11" x14ac:dyDescent="0.25">
      <c r="B208" t="str">
        <f t="shared" si="99"/>
        <v>Agropastoral</v>
      </c>
      <c r="C208">
        <f t="shared" ref="C208" si="124">C82</f>
        <v>0</v>
      </c>
      <c r="D208" s="40">
        <f>D82*I91</f>
        <v>3.2752397171900953</v>
      </c>
      <c r="E208" s="40">
        <f>E82*I91</f>
        <v>2.7432234134247691</v>
      </c>
      <c r="H208" s="4"/>
      <c r="I208" s="4"/>
      <c r="J208" s="4"/>
      <c r="K208" s="4"/>
    </row>
    <row r="209" spans="1:11" x14ac:dyDescent="0.25">
      <c r="B209" t="str">
        <f t="shared" si="99"/>
        <v>Mixed</v>
      </c>
      <c r="C209">
        <f t="shared" ref="C209:D209" si="125">C83</f>
        <v>0</v>
      </c>
      <c r="D209" s="40">
        <f t="shared" si="125"/>
        <v>0</v>
      </c>
      <c r="E209" s="40">
        <f>E83*I92</f>
        <v>0.30877245053085933</v>
      </c>
      <c r="H209" s="4"/>
      <c r="I209" s="4"/>
      <c r="J209" s="4"/>
      <c r="K209" s="4"/>
    </row>
    <row r="210" spans="1:11" x14ac:dyDescent="0.25">
      <c r="B210" t="str">
        <f t="shared" si="99"/>
        <v>Cowcalf</v>
      </c>
      <c r="C210">
        <f t="shared" ref="C210:E210" si="126">C84</f>
        <v>2.0019220309243413E-2</v>
      </c>
      <c r="D210">
        <f t="shared" si="126"/>
        <v>9.2522672890536062E-2</v>
      </c>
      <c r="E210">
        <f t="shared" si="126"/>
        <v>0.15001904223920623</v>
      </c>
      <c r="H210" s="4"/>
      <c r="I210" s="4"/>
      <c r="J210" s="4"/>
      <c r="K210" s="4"/>
    </row>
    <row r="211" spans="1:11" x14ac:dyDescent="0.25">
      <c r="B211" t="str">
        <f t="shared" si="99"/>
        <v>Finisher</v>
      </c>
      <c r="C211">
        <f t="shared" ref="C211:E211" si="127">C85</f>
        <v>5.3182961871764585</v>
      </c>
      <c r="D211">
        <f t="shared" si="127"/>
        <v>7.088110217691594</v>
      </c>
      <c r="E211">
        <f t="shared" si="127"/>
        <v>6.1560286644571258</v>
      </c>
      <c r="H211" s="4"/>
      <c r="I211" s="4"/>
      <c r="J211" s="4"/>
      <c r="K211" s="4"/>
    </row>
    <row r="212" spans="1:11" x14ac:dyDescent="0.25">
      <c r="B212" t="str">
        <f t="shared" si="99"/>
        <v>Dairy</v>
      </c>
      <c r="C212">
        <f t="shared" ref="C212:E212" si="128">C86</f>
        <v>3.0271361942572905E-2</v>
      </c>
      <c r="D212">
        <f t="shared" si="128"/>
        <v>1.4765740788097195</v>
      </c>
      <c r="E212">
        <f t="shared" si="128"/>
        <v>6.3853780054327789</v>
      </c>
      <c r="H212" s="4"/>
      <c r="I212" s="4"/>
      <c r="J212" s="4"/>
      <c r="K212" s="4"/>
    </row>
    <row r="213" spans="1:11" x14ac:dyDescent="0.25">
      <c r="B213" t="str">
        <f t="shared" si="99"/>
        <v>Sheep</v>
      </c>
      <c r="C213">
        <f t="shared" ref="C213:E213" si="129">C87</f>
        <v>11.794047385286973</v>
      </c>
      <c r="D213">
        <f t="shared" si="129"/>
        <v>9.6481198260451801</v>
      </c>
      <c r="E213">
        <f t="shared" si="129"/>
        <v>9.0810136627013929</v>
      </c>
      <c r="H213" s="4"/>
      <c r="I213" s="4"/>
      <c r="J213" s="4"/>
      <c r="K213" s="4"/>
    </row>
    <row r="214" spans="1:11" x14ac:dyDescent="0.25">
      <c r="H214" s="4"/>
      <c r="I214" s="4"/>
      <c r="J214" s="4"/>
      <c r="K214" s="4"/>
    </row>
    <row r="215" spans="1:11" x14ac:dyDescent="0.25">
      <c r="A215" t="str">
        <f>H93</f>
        <v>+20% Cowcalf:Finisher</v>
      </c>
      <c r="B215" s="42" t="str">
        <f>B206</f>
        <v>Animal populations (M hd) -- SA scenario specific</v>
      </c>
      <c r="C215" s="42"/>
      <c r="D215" s="42"/>
      <c r="E215" s="42"/>
      <c r="H215" s="4"/>
      <c r="I215" s="4"/>
      <c r="J215" s="4"/>
      <c r="K215" s="4"/>
    </row>
    <row r="216" spans="1:11" x14ac:dyDescent="0.25">
      <c r="B216" t="str">
        <f t="shared" si="99"/>
        <v>Pastoral</v>
      </c>
      <c r="C216">
        <f>C81</f>
        <v>0.49402322991933489</v>
      </c>
      <c r="D216">
        <f t="shared" ref="D216:E216" si="130">D81</f>
        <v>0.48640304349731928</v>
      </c>
      <c r="E216">
        <f t="shared" si="130"/>
        <v>0</v>
      </c>
      <c r="H216" s="4"/>
      <c r="I216" s="4"/>
      <c r="J216" s="4"/>
      <c r="K216" s="4"/>
    </row>
    <row r="217" spans="1:11" x14ac:dyDescent="0.25">
      <c r="B217" t="str">
        <f t="shared" si="99"/>
        <v>Agropastoral</v>
      </c>
      <c r="C217">
        <f t="shared" ref="C217:E217" si="131">C82</f>
        <v>0</v>
      </c>
      <c r="D217">
        <f t="shared" si="131"/>
        <v>2.5194151670693041</v>
      </c>
      <c r="E217">
        <f t="shared" si="131"/>
        <v>2.1101718564805916</v>
      </c>
      <c r="H217" s="4"/>
      <c r="I217" s="4"/>
      <c r="J217" s="4"/>
      <c r="K217" s="4"/>
    </row>
    <row r="218" spans="1:11" x14ac:dyDescent="0.25">
      <c r="B218" t="str">
        <f t="shared" si="99"/>
        <v>Mixed</v>
      </c>
      <c r="C218">
        <f t="shared" ref="C218:E218" si="132">C83</f>
        <v>0</v>
      </c>
      <c r="D218">
        <f t="shared" si="132"/>
        <v>0</v>
      </c>
      <c r="E218">
        <f t="shared" si="132"/>
        <v>0.38596556316357417</v>
      </c>
      <c r="H218" s="4"/>
      <c r="I218" s="4"/>
      <c r="J218" s="4"/>
      <c r="K218" s="4"/>
    </row>
    <row r="219" spans="1:11" x14ac:dyDescent="0.25">
      <c r="B219" t="str">
        <f t="shared" si="99"/>
        <v>Cowcalf</v>
      </c>
      <c r="C219" s="40">
        <f>C84*I93</f>
        <v>2.6024986402016437E-2</v>
      </c>
      <c r="D219" s="40">
        <f>D84*I93</f>
        <v>0.12027947475769689</v>
      </c>
      <c r="E219" s="40">
        <f>E84*I93</f>
        <v>0.1950247549109681</v>
      </c>
      <c r="H219" s="4"/>
      <c r="I219" s="4"/>
      <c r="J219" s="4"/>
      <c r="K219" s="4"/>
    </row>
    <row r="220" spans="1:11" x14ac:dyDescent="0.25">
      <c r="B220" t="str">
        <f t="shared" si="99"/>
        <v>Finisher</v>
      </c>
      <c r="C220" s="40">
        <f>C85*I94</f>
        <v>4.2546369497411671</v>
      </c>
      <c r="D220" s="40">
        <f>D85*I94</f>
        <v>5.6704881741532756</v>
      </c>
      <c r="E220" s="40">
        <f>E85*I94</f>
        <v>4.9248229315657008</v>
      </c>
      <c r="H220" s="4"/>
      <c r="I220" s="4"/>
      <c r="J220" s="4"/>
      <c r="K220" s="4"/>
    </row>
    <row r="221" spans="1:11" x14ac:dyDescent="0.25">
      <c r="B221" t="str">
        <f t="shared" si="99"/>
        <v>Dairy</v>
      </c>
      <c r="C221">
        <f t="shared" ref="C221:E221" si="133">C86</f>
        <v>3.0271361942572905E-2</v>
      </c>
      <c r="D221">
        <f t="shared" si="133"/>
        <v>1.4765740788097195</v>
      </c>
      <c r="E221">
        <f t="shared" si="133"/>
        <v>6.3853780054327789</v>
      </c>
      <c r="H221" s="4"/>
      <c r="I221" s="4"/>
      <c r="J221" s="4"/>
      <c r="K221" s="4"/>
    </row>
    <row r="222" spans="1:11" x14ac:dyDescent="0.25">
      <c r="B222" t="str">
        <f t="shared" si="99"/>
        <v>Sheep</v>
      </c>
      <c r="C222">
        <f t="shared" ref="C222:E222" si="134">C87</f>
        <v>11.794047385286973</v>
      </c>
      <c r="D222">
        <f t="shared" si="134"/>
        <v>9.6481198260451801</v>
      </c>
      <c r="E222">
        <f t="shared" si="134"/>
        <v>9.0810136627013929</v>
      </c>
      <c r="H222" s="4"/>
      <c r="I222" s="4"/>
      <c r="J222" s="4"/>
      <c r="K222" s="4"/>
    </row>
    <row r="223" spans="1:11" x14ac:dyDescent="0.25">
      <c r="H223" s="4"/>
      <c r="I223" s="4"/>
      <c r="J223" s="4"/>
      <c r="K223" s="4"/>
    </row>
    <row r="224" spans="1:11" x14ac:dyDescent="0.25">
      <c r="A224" t="str">
        <f>H94</f>
        <v>-20% Cowcalf:Finisher</v>
      </c>
      <c r="B224" s="42" t="str">
        <f>B215</f>
        <v>Animal populations (M hd) -- SA scenario specific</v>
      </c>
      <c r="C224" s="42"/>
      <c r="D224" s="42"/>
      <c r="E224" s="42"/>
      <c r="H224" s="4"/>
      <c r="I224" s="4"/>
      <c r="J224" s="4"/>
      <c r="K224" s="4"/>
    </row>
    <row r="225" spans="1:11" x14ac:dyDescent="0.25">
      <c r="B225" t="str">
        <f t="shared" si="99"/>
        <v>Pastoral</v>
      </c>
      <c r="C225">
        <f>C81</f>
        <v>0.49402322991933489</v>
      </c>
      <c r="D225">
        <f t="shared" ref="D225:E225" si="135">D81</f>
        <v>0.48640304349731928</v>
      </c>
      <c r="E225">
        <f t="shared" si="135"/>
        <v>0</v>
      </c>
      <c r="H225" s="4"/>
      <c r="I225" s="4"/>
      <c r="J225" s="4"/>
      <c r="K225" s="4"/>
    </row>
    <row r="226" spans="1:11" x14ac:dyDescent="0.25">
      <c r="B226" t="str">
        <f t="shared" si="99"/>
        <v>Agropastoral</v>
      </c>
      <c r="C226">
        <f t="shared" ref="C226:E226" si="136">C82</f>
        <v>0</v>
      </c>
      <c r="D226">
        <f t="shared" si="136"/>
        <v>2.5194151670693041</v>
      </c>
      <c r="E226">
        <f t="shared" si="136"/>
        <v>2.1101718564805916</v>
      </c>
      <c r="H226" s="4"/>
      <c r="I226" s="4"/>
      <c r="J226" s="4"/>
      <c r="K226" s="4"/>
    </row>
    <row r="227" spans="1:11" x14ac:dyDescent="0.25">
      <c r="B227" t="str">
        <f t="shared" si="99"/>
        <v>Mixed</v>
      </c>
      <c r="C227">
        <f t="shared" ref="C227:E227" si="137">C83</f>
        <v>0</v>
      </c>
      <c r="D227">
        <f t="shared" si="137"/>
        <v>0</v>
      </c>
      <c r="E227">
        <f t="shared" si="137"/>
        <v>0.38596556316357417</v>
      </c>
      <c r="H227" s="4"/>
      <c r="I227" s="4"/>
      <c r="J227" s="4"/>
      <c r="K227" s="4"/>
    </row>
    <row r="228" spans="1:11" x14ac:dyDescent="0.25">
      <c r="B228" t="str">
        <f t="shared" si="99"/>
        <v>Cowcalf</v>
      </c>
      <c r="C228" s="40">
        <f>C84*I94</f>
        <v>1.6015376247394731E-2</v>
      </c>
      <c r="D228" s="40">
        <f>D84*I94</f>
        <v>7.4018138312428858E-2</v>
      </c>
      <c r="E228" s="40">
        <f>E84*I94</f>
        <v>0.12001523379136499</v>
      </c>
      <c r="H228" s="4"/>
      <c r="I228" s="4"/>
      <c r="J228" s="4"/>
      <c r="K228" s="4"/>
    </row>
    <row r="229" spans="1:11" x14ac:dyDescent="0.25">
      <c r="B229" t="str">
        <f t="shared" si="99"/>
        <v>Finisher</v>
      </c>
      <c r="C229" s="40">
        <f>C85*I93</f>
        <v>6.9137850433293959</v>
      </c>
      <c r="D229" s="40">
        <f>D85*I93</f>
        <v>9.2145432829990721</v>
      </c>
      <c r="E229" s="40">
        <f>E85*I93</f>
        <v>8.0028372637942642</v>
      </c>
      <c r="H229" s="4"/>
      <c r="I229" s="4"/>
      <c r="J229" s="4"/>
      <c r="K229" s="4"/>
    </row>
    <row r="230" spans="1:11" x14ac:dyDescent="0.25">
      <c r="B230" t="str">
        <f t="shared" si="99"/>
        <v>Dairy</v>
      </c>
      <c r="C230">
        <f t="shared" ref="C230:E230" si="138">C86</f>
        <v>3.0271361942572905E-2</v>
      </c>
      <c r="D230">
        <f t="shared" si="138"/>
        <v>1.4765740788097195</v>
      </c>
      <c r="E230">
        <f t="shared" si="138"/>
        <v>6.3853780054327789</v>
      </c>
      <c r="H230" s="4"/>
      <c r="I230" s="4"/>
      <c r="J230" s="4"/>
      <c r="K230" s="4"/>
    </row>
    <row r="231" spans="1:11" x14ac:dyDescent="0.25">
      <c r="B231" t="str">
        <f t="shared" si="99"/>
        <v>Sheep</v>
      </c>
      <c r="C231">
        <f t="shared" ref="C231:E231" si="139">C87</f>
        <v>11.794047385286973</v>
      </c>
      <c r="D231">
        <f t="shared" si="139"/>
        <v>9.6481198260451801</v>
      </c>
      <c r="E231">
        <f t="shared" si="139"/>
        <v>9.0810136627013929</v>
      </c>
      <c r="H231" s="4"/>
      <c r="I231" s="4"/>
      <c r="J231" s="4"/>
      <c r="K231" s="4"/>
    </row>
    <row r="232" spans="1:11" x14ac:dyDescent="0.25">
      <c r="H232" s="4"/>
      <c r="I232" s="4"/>
      <c r="J232" s="4"/>
      <c r="K232" s="4"/>
    </row>
    <row r="233" spans="1:11" x14ac:dyDescent="0.25">
      <c r="A233" t="str">
        <f>H95</f>
        <v>+20% Commercial:Subsistence</v>
      </c>
      <c r="B233" s="42" t="str">
        <f>B89</f>
        <v>Animal populations (M hd) -- SA scenario specific</v>
      </c>
      <c r="C233" s="42"/>
      <c r="D233" s="42"/>
      <c r="E233" s="42"/>
      <c r="H233" s="4"/>
      <c r="I233" s="4"/>
      <c r="J233" s="4"/>
      <c r="K233" s="4"/>
    </row>
    <row r="234" spans="1:11" x14ac:dyDescent="0.25">
      <c r="B234" t="str">
        <f t="shared" si="99"/>
        <v>Pastoral</v>
      </c>
      <c r="C234" s="40">
        <f>C81*I96</f>
        <v>0.39521858393546794</v>
      </c>
      <c r="D234" s="40">
        <f>D81*I96</f>
        <v>0.38912243479785547</v>
      </c>
      <c r="E234" s="40">
        <f>E81*I96</f>
        <v>0</v>
      </c>
      <c r="H234" s="4"/>
      <c r="I234" s="4"/>
      <c r="J234" s="4"/>
      <c r="K234" s="4"/>
    </row>
    <row r="235" spans="1:11" x14ac:dyDescent="0.25">
      <c r="B235" t="str">
        <f t="shared" si="99"/>
        <v>Agropastoral</v>
      </c>
      <c r="C235" s="40">
        <f t="shared" ref="C235" si="140">C82</f>
        <v>0</v>
      </c>
      <c r="D235" s="40">
        <f>D82*I96</f>
        <v>2.0155321336554435</v>
      </c>
      <c r="E235" s="40">
        <f>E82*I96</f>
        <v>1.6881374851844733</v>
      </c>
      <c r="H235" s="4"/>
      <c r="I235" s="4"/>
      <c r="J235" s="4"/>
      <c r="K235" s="4"/>
    </row>
    <row r="236" spans="1:11" x14ac:dyDescent="0.25">
      <c r="B236" t="str">
        <f t="shared" ref="B236:B249" si="141">B227</f>
        <v>Mixed</v>
      </c>
      <c r="C236" s="40">
        <f>C83*I96</f>
        <v>0</v>
      </c>
      <c r="D236" s="40">
        <f>D83*I96</f>
        <v>0</v>
      </c>
      <c r="E236" s="40">
        <f>E83*I96</f>
        <v>0.30877245053085933</v>
      </c>
      <c r="H236" s="4"/>
      <c r="I236" s="4"/>
      <c r="J236" s="4"/>
      <c r="K236" s="4"/>
    </row>
    <row r="237" spans="1:11" x14ac:dyDescent="0.25">
      <c r="B237" t="str">
        <f t="shared" si="141"/>
        <v>Cowcalf</v>
      </c>
      <c r="C237" s="40">
        <f>C84*I95</f>
        <v>2.6024986402016437E-2</v>
      </c>
      <c r="D237" s="40">
        <f>D84*I95</f>
        <v>0.12027947475769689</v>
      </c>
      <c r="E237" s="40">
        <f>E84*I95</f>
        <v>0.1950247549109681</v>
      </c>
      <c r="H237" s="4"/>
      <c r="I237" s="4"/>
      <c r="J237" s="4"/>
      <c r="K237" s="4"/>
    </row>
    <row r="238" spans="1:11" x14ac:dyDescent="0.25">
      <c r="B238" t="str">
        <f t="shared" si="141"/>
        <v>Finisher</v>
      </c>
      <c r="C238" s="40">
        <f>C85*I95</f>
        <v>6.9137850433293959</v>
      </c>
      <c r="D238" s="40">
        <f>D85*I95</f>
        <v>9.2145432829990721</v>
      </c>
      <c r="E238" s="40">
        <f>E85*I95</f>
        <v>8.0028372637942642</v>
      </c>
      <c r="H238" s="4"/>
      <c r="I238" s="4"/>
      <c r="J238" s="4"/>
      <c r="K238" s="4"/>
    </row>
    <row r="239" spans="1:11" x14ac:dyDescent="0.25">
      <c r="B239" t="str">
        <f t="shared" si="141"/>
        <v>Dairy</v>
      </c>
      <c r="C239">
        <f t="shared" ref="C239:E239" si="142">C86</f>
        <v>3.0271361942572905E-2</v>
      </c>
      <c r="D239">
        <f t="shared" si="142"/>
        <v>1.4765740788097195</v>
      </c>
      <c r="E239">
        <f t="shared" si="142"/>
        <v>6.3853780054327789</v>
      </c>
      <c r="H239" s="4"/>
      <c r="I239" s="4"/>
      <c r="J239" s="4"/>
      <c r="K239" s="4"/>
    </row>
    <row r="240" spans="1:11" x14ac:dyDescent="0.25">
      <c r="B240" t="str">
        <f t="shared" si="141"/>
        <v>Sheep</v>
      </c>
      <c r="C240">
        <f t="shared" ref="C240:E240" si="143">C87</f>
        <v>11.794047385286973</v>
      </c>
      <c r="D240">
        <f t="shared" si="143"/>
        <v>9.6481198260451801</v>
      </c>
      <c r="E240">
        <f t="shared" si="143"/>
        <v>9.0810136627013929</v>
      </c>
      <c r="H240" s="4"/>
      <c r="I240" s="4"/>
      <c r="J240" s="4"/>
      <c r="K240" s="4"/>
    </row>
    <row r="241" spans="1:11" x14ac:dyDescent="0.25">
      <c r="H241" s="4"/>
      <c r="I241" s="4"/>
      <c r="J241" s="4"/>
      <c r="K241" s="4"/>
    </row>
    <row r="242" spans="1:11" x14ac:dyDescent="0.25">
      <c r="A242" s="36" t="str">
        <f>H96</f>
        <v>-20% Commercial:Subsistence</v>
      </c>
      <c r="B242" s="42" t="str">
        <f>B233</f>
        <v>Animal populations (M hd) -- SA scenario specific</v>
      </c>
      <c r="C242" s="42"/>
      <c r="D242" s="42"/>
      <c r="E242" s="42"/>
      <c r="H242" s="4"/>
      <c r="I242" s="4"/>
      <c r="J242" s="4"/>
      <c r="K242" s="4"/>
    </row>
    <row r="243" spans="1:11" x14ac:dyDescent="0.25">
      <c r="B243" t="str">
        <f t="shared" si="141"/>
        <v>Pastoral</v>
      </c>
      <c r="C243" s="40">
        <f>C81*I95</f>
        <v>0.64223019889513533</v>
      </c>
      <c r="D243" s="40">
        <f>D81*I95</f>
        <v>0.63232395654651508</v>
      </c>
      <c r="E243" s="40">
        <f>E81*I1014</f>
        <v>0</v>
      </c>
      <c r="H243" s="4"/>
      <c r="I243" s="4"/>
      <c r="J243" s="4"/>
      <c r="K243" s="4"/>
    </row>
    <row r="244" spans="1:11" x14ac:dyDescent="0.25">
      <c r="B244" t="str">
        <f t="shared" si="141"/>
        <v>Agropastoral</v>
      </c>
      <c r="C244" s="40">
        <f>C82*I95</f>
        <v>0</v>
      </c>
      <c r="D244" s="40">
        <f>D82*I95</f>
        <v>3.2752397171900953</v>
      </c>
      <c r="E244" s="40">
        <f>E82*I95</f>
        <v>2.7432234134247691</v>
      </c>
      <c r="H244" s="4"/>
      <c r="I244" s="4"/>
      <c r="J244" s="4"/>
      <c r="K244" s="4"/>
    </row>
    <row r="245" spans="1:11" x14ac:dyDescent="0.25">
      <c r="B245" t="str">
        <f t="shared" si="141"/>
        <v>Mixed</v>
      </c>
      <c r="C245" s="40">
        <f>C83*I95</f>
        <v>0</v>
      </c>
      <c r="D245" s="40">
        <f>D83*I95</f>
        <v>0</v>
      </c>
      <c r="E245" s="40">
        <f t="shared" ref="E245" si="144">E83</f>
        <v>0.38596556316357417</v>
      </c>
      <c r="H245" s="4"/>
      <c r="I245" s="4"/>
      <c r="J245" s="4"/>
      <c r="K245" s="4"/>
    </row>
    <row r="246" spans="1:11" x14ac:dyDescent="0.25">
      <c r="B246" t="str">
        <f t="shared" si="141"/>
        <v>Cowcalf</v>
      </c>
      <c r="C246" s="40">
        <f>C84*I96</f>
        <v>1.6015376247394731E-2</v>
      </c>
      <c r="D246" s="40">
        <f>D84*I96</f>
        <v>7.4018138312428858E-2</v>
      </c>
      <c r="E246" s="40">
        <f>E84*I96</f>
        <v>0.12001523379136499</v>
      </c>
      <c r="H246" s="4"/>
      <c r="I246" s="4"/>
      <c r="J246" s="4"/>
      <c r="K246" s="4"/>
    </row>
    <row r="247" spans="1:11" x14ac:dyDescent="0.25">
      <c r="B247" t="str">
        <f t="shared" si="141"/>
        <v>Finisher</v>
      </c>
      <c r="C247" s="40">
        <f>C85*I96</f>
        <v>4.2546369497411671</v>
      </c>
      <c r="D247" s="40">
        <f>D85*I96</f>
        <v>5.6704881741532756</v>
      </c>
      <c r="E247" s="40">
        <f>E85*I96</f>
        <v>4.9248229315657008</v>
      </c>
      <c r="H247" s="4"/>
      <c r="I247" s="4"/>
      <c r="J247" s="4"/>
      <c r="K247" s="4"/>
    </row>
    <row r="248" spans="1:11" x14ac:dyDescent="0.25">
      <c r="B248" t="str">
        <f t="shared" si="141"/>
        <v>Dairy</v>
      </c>
      <c r="C248">
        <f t="shared" ref="C248:E248" si="145">C86</f>
        <v>3.0271361942572905E-2</v>
      </c>
      <c r="D248">
        <f t="shared" si="145"/>
        <v>1.4765740788097195</v>
      </c>
      <c r="E248">
        <f t="shared" si="145"/>
        <v>6.3853780054327789</v>
      </c>
      <c r="H248" s="4"/>
      <c r="I248" s="4"/>
      <c r="J248" s="4"/>
      <c r="K248" s="4"/>
    </row>
    <row r="249" spans="1:11" x14ac:dyDescent="0.25">
      <c r="B249" t="str">
        <f t="shared" si="141"/>
        <v>Sheep</v>
      </c>
      <c r="C249">
        <f t="shared" ref="C249:E249" si="146">C87</f>
        <v>11.794047385286973</v>
      </c>
      <c r="D249">
        <f t="shared" si="146"/>
        <v>9.6481198260451801</v>
      </c>
      <c r="E249">
        <f t="shared" si="146"/>
        <v>9.0810136627013929</v>
      </c>
      <c r="H249" s="4"/>
      <c r="I249" s="4"/>
      <c r="J249" s="4"/>
      <c r="K249" s="4"/>
    </row>
    <row r="250" spans="1:11" x14ac:dyDescent="0.25">
      <c r="H250" s="4"/>
      <c r="I250" s="4"/>
      <c r="J250" s="4"/>
      <c r="K250" s="4"/>
    </row>
    <row r="251" spans="1:11" x14ac:dyDescent="0.25">
      <c r="B251" s="45" t="s">
        <v>162</v>
      </c>
      <c r="C251" s="47"/>
      <c r="D251" s="47"/>
      <c r="E251" s="47"/>
      <c r="H251" s="4"/>
      <c r="I251" s="4"/>
      <c r="J251" s="4"/>
      <c r="K251" s="4"/>
    </row>
    <row r="252" spans="1:11" x14ac:dyDescent="0.25">
      <c r="A252" s="1" t="s">
        <v>160</v>
      </c>
      <c r="B252" t="str">
        <f>H79</f>
        <v>+20% Herd size</v>
      </c>
      <c r="C252">
        <f>(SUM(C2:C7)+SUM(C90:C94))*$I1*1000000</f>
        <v>2378123569.704309</v>
      </c>
      <c r="D252">
        <f t="shared" ref="D252:E252" si="147">(SUM(D2:D7)+SUM(D90:D94))*$I1*1000000</f>
        <v>4398215560.7369394</v>
      </c>
      <c r="E252">
        <f t="shared" si="147"/>
        <v>4298222229.7411747</v>
      </c>
      <c r="H252" s="4"/>
      <c r="I252" s="4"/>
      <c r="J252" s="4"/>
      <c r="K252" s="4"/>
    </row>
    <row r="253" spans="1:11" x14ac:dyDescent="0.25">
      <c r="B253" t="str">
        <f t="shared" ref="B253:B269" si="148">H80</f>
        <v xml:space="preserve">-20% Herd size </v>
      </c>
      <c r="C253">
        <f>(SUM(C2:C7)+SUM(C99:C103))*$I1*1000000</f>
        <v>1808742679.2275615</v>
      </c>
      <c r="D253">
        <f t="shared" ref="D253:E253" si="149">(SUM(D2:D7)+SUM(D99:D103))*$I1*1000000</f>
        <v>3403765313.7001042</v>
      </c>
      <c r="E253">
        <f t="shared" si="149"/>
        <v>3438910671.040802</v>
      </c>
      <c r="H253" s="4"/>
      <c r="I253" s="4"/>
      <c r="J253" s="4"/>
      <c r="K253" s="4"/>
    </row>
    <row r="254" spans="1:11" x14ac:dyDescent="0.25">
      <c r="B254" t="str">
        <f t="shared" si="148"/>
        <v>+20% Zebu</v>
      </c>
      <c r="C254">
        <f>(SUM(C2:C7)+SUM(C108:C112))*$I1*1000000</f>
        <v>2036495035.4182603</v>
      </c>
      <c r="D254">
        <f t="shared" ref="D254:E254" si="150">(SUM(D2:D7)+SUM(D108:D112))*$I1*1000000</f>
        <v>3801545412.5148387</v>
      </c>
      <c r="E254">
        <f t="shared" si="150"/>
        <v>3782635294.5209508</v>
      </c>
      <c r="H254" s="4"/>
      <c r="I254" s="4"/>
      <c r="J254" s="4"/>
      <c r="K254" s="4"/>
    </row>
    <row r="255" spans="1:11" x14ac:dyDescent="0.25">
      <c r="B255" t="str">
        <f t="shared" si="148"/>
        <v>-20% Zebu</v>
      </c>
      <c r="C255">
        <f>(SUM(C2:C7)+SUM(C117:C121))*$I1*1000000</f>
        <v>2036495035.4182603</v>
      </c>
      <c r="D255">
        <f t="shared" ref="D255:E255" si="151">(SUM(D2:D7)+SUM(D117:D121))*$I1*1000000</f>
        <v>3801545412.5148387</v>
      </c>
      <c r="E255">
        <f t="shared" si="151"/>
        <v>3782635294.5209508</v>
      </c>
      <c r="H255" s="4"/>
      <c r="I255" s="4"/>
      <c r="J255" s="4"/>
      <c r="K255" s="4"/>
    </row>
    <row r="256" spans="1:11" x14ac:dyDescent="0.25">
      <c r="B256" t="str">
        <f t="shared" si="148"/>
        <v>+20% Boran</v>
      </c>
      <c r="C256">
        <f>(SUM(C2:C7)+SUM(C126:C130))*$I1*1000000</f>
        <v>2036495035.4182603</v>
      </c>
      <c r="D256">
        <f t="shared" ref="D256:E256" si="152">(SUM(D2:D7)+SUM(D126:D130))*$I1*1000000</f>
        <v>3801545412.5148387</v>
      </c>
      <c r="E256">
        <f t="shared" si="152"/>
        <v>3782635294.5209508</v>
      </c>
      <c r="H256" s="4"/>
      <c r="I256" s="4"/>
      <c r="J256" s="4"/>
      <c r="K256" s="4"/>
    </row>
    <row r="257" spans="2:11" x14ac:dyDescent="0.25">
      <c r="B257" t="str">
        <f t="shared" si="148"/>
        <v>-20% Boran</v>
      </c>
      <c r="C257">
        <f>(SUM(C2:C7)+SUM(C135:C139))*$I1*1000000</f>
        <v>2036495035.4182603</v>
      </c>
      <c r="D257">
        <f t="shared" ref="D257:E257" si="153">(SUM(D2:D7)+SUM(D135:D139))*$I1*1000000</f>
        <v>3801545412.5148387</v>
      </c>
      <c r="E257">
        <f t="shared" si="153"/>
        <v>3782635294.5209508</v>
      </c>
      <c r="H257" s="4"/>
      <c r="I257" s="4"/>
      <c r="J257" s="4"/>
      <c r="K257" s="4"/>
    </row>
    <row r="258" spans="2:11" x14ac:dyDescent="0.25">
      <c r="B258" t="str">
        <f t="shared" si="148"/>
        <v>+20% Exotic</v>
      </c>
      <c r="C258">
        <f>(SUM(C2:C7)+SUM(C144:C148))*$I1*1000000</f>
        <v>2036495035.4182603</v>
      </c>
      <c r="D258">
        <f t="shared" ref="D258:E258" si="154">(SUM(D2:D7)+SUM(D144:D148))*$I1*1000000</f>
        <v>3801545412.5148387</v>
      </c>
      <c r="E258">
        <f t="shared" si="154"/>
        <v>3782635294.5209508</v>
      </c>
      <c r="H258" s="4"/>
      <c r="I258" s="4"/>
      <c r="J258" s="4"/>
      <c r="K258" s="4"/>
    </row>
    <row r="259" spans="2:11" x14ac:dyDescent="0.25">
      <c r="B259" t="str">
        <f t="shared" si="148"/>
        <v>-20% Exotic</v>
      </c>
      <c r="C259">
        <f>(SUM(C2:C7)+SUM(C153:C157))*$I1*1000000</f>
        <v>2036495035.4182603</v>
      </c>
      <c r="D259">
        <f t="shared" ref="D259:E259" si="155">(SUM(D2:D7)+SUM(D153:D157))*$I1*1000000</f>
        <v>3801545412.5148387</v>
      </c>
      <c r="E259">
        <f t="shared" si="155"/>
        <v>3782635294.5209508</v>
      </c>
      <c r="H259" s="4"/>
      <c r="I259" s="4"/>
      <c r="J259" s="4"/>
      <c r="K259" s="4"/>
    </row>
    <row r="260" spans="2:11" x14ac:dyDescent="0.25">
      <c r="B260" t="str">
        <f t="shared" si="148"/>
        <v>+20% Finisher:Breeder</v>
      </c>
      <c r="C260">
        <f>(SUM(C2:C7)+SUM(C162:C166))*$I1*1000000</f>
        <v>2036495035.4182603</v>
      </c>
      <c r="D260">
        <f t="shared" ref="D260:E260" si="156">(SUM(D2:D7)+SUM(D162:D166))*$I1*1000000</f>
        <v>3801545412.5148387</v>
      </c>
      <c r="E260">
        <f t="shared" si="156"/>
        <v>3782635294.5209508</v>
      </c>
      <c r="H260" s="4"/>
      <c r="I260" s="4"/>
      <c r="J260" s="4"/>
      <c r="K260" s="4"/>
    </row>
    <row r="261" spans="2:11" x14ac:dyDescent="0.25">
      <c r="B261" t="str">
        <f t="shared" si="148"/>
        <v>-20% Finisher:Breeder</v>
      </c>
      <c r="C261">
        <f>(SUM(C2:C7)+SUM(C171:C175))*$I1*1000000</f>
        <v>2036495035.4182603</v>
      </c>
      <c r="D261">
        <f t="shared" ref="D261:E261" si="157">(SUM(D2:D7)+SUM(D171:D175))*$I1*1000000</f>
        <v>3801545412.5148387</v>
      </c>
      <c r="E261">
        <f t="shared" si="157"/>
        <v>3782635294.5209508</v>
      </c>
      <c r="H261" s="4"/>
      <c r="I261" s="4"/>
      <c r="J261" s="4"/>
      <c r="K261" s="4"/>
    </row>
    <row r="262" spans="2:11" x14ac:dyDescent="0.25">
      <c r="B262" t="str">
        <f t="shared" si="148"/>
        <v>+20% Pastoral:Agropastoral</v>
      </c>
      <c r="C262">
        <f>(SUM(C2:C7)+SUM(C180:C184))*$I1*1000000</f>
        <v>2065432386.6993058</v>
      </c>
      <c r="D262">
        <f t="shared" ref="D262:E262" si="158">(SUM(D2:D7)+SUM(D180:D184))*$I1*1000000</f>
        <v>3731653452.0093141</v>
      </c>
      <c r="E262">
        <f t="shared" si="158"/>
        <v>3700233252.7055969</v>
      </c>
      <c r="H262" s="4"/>
      <c r="I262" s="4"/>
      <c r="J262" s="4"/>
      <c r="K262" s="4"/>
    </row>
    <row r="263" spans="2:11" x14ac:dyDescent="0.25">
      <c r="B263" t="str">
        <f t="shared" si="148"/>
        <v>-20% Pastoral:Agropastoral</v>
      </c>
      <c r="C263">
        <f>(SUM(C2:C7)+SUM(C189:C193))*$I1*1000000</f>
        <v>2017203467.8975637</v>
      </c>
      <c r="D263">
        <f t="shared" ref="D263:E263" si="159">(SUM(D2:D7)+SUM(D189:D193))*$I1*1000000</f>
        <v>3930125853.087944</v>
      </c>
      <c r="E263">
        <f t="shared" si="159"/>
        <v>3906238357.2439823</v>
      </c>
      <c r="H263" s="4"/>
      <c r="I263" s="4"/>
      <c r="J263" s="4"/>
      <c r="K263" s="4"/>
    </row>
    <row r="264" spans="2:11" x14ac:dyDescent="0.25">
      <c r="B264" t="str">
        <f t="shared" si="148"/>
        <v>+20% Mixed:Agropastoral</v>
      </c>
      <c r="C264">
        <f>(SUM(C2:C7)+SUM(C198:C202))*$I1*1000000</f>
        <v>2036495035.4182603</v>
      </c>
      <c r="D264">
        <f t="shared" ref="D264:E264" si="160">(SUM(D2:D7)+SUM(D198:D202))*$I1*1000000</f>
        <v>3703162452.2315316</v>
      </c>
      <c r="E264">
        <f t="shared" si="160"/>
        <v>3722841139.1514926</v>
      </c>
      <c r="H264" s="4"/>
      <c r="I264" s="4"/>
      <c r="J264" s="4"/>
      <c r="K264" s="4"/>
    </row>
    <row r="265" spans="2:11" x14ac:dyDescent="0.25">
      <c r="B265" t="str">
        <f t="shared" si="148"/>
        <v>-20% Mixed:Agropastoral</v>
      </c>
      <c r="C265">
        <f>(SUM(C2:C7)+SUM(C207:C211))*$I1*1000000</f>
        <v>2036495035.4182603</v>
      </c>
      <c r="D265">
        <f t="shared" ref="D265:E265" si="161">(SUM(D2:D7)+SUM(D207:D211))*$I1*1000000</f>
        <v>3949119852.9397993</v>
      </c>
      <c r="E265">
        <f t="shared" si="161"/>
        <v>3891166432.9467192</v>
      </c>
      <c r="H265" s="4"/>
      <c r="I265" s="4"/>
      <c r="J265" s="4"/>
      <c r="K265" s="4"/>
    </row>
    <row r="266" spans="2:11" x14ac:dyDescent="0.25">
      <c r="B266" t="str">
        <f t="shared" si="148"/>
        <v>+20% Cowcalf:Finisher</v>
      </c>
      <c r="C266">
        <f>(SUM(C2:C7)+SUM(C216:C220))*$I1*1000000</f>
        <v>1829988619.1184125</v>
      </c>
      <c r="D266">
        <f t="shared" ref="D266:E266" si="162">(SUM(D2:D7)+SUM(D216:D220))*$I1*1000000</f>
        <v>3530174781.2315001</v>
      </c>
      <c r="E266">
        <f t="shared" si="162"/>
        <v>3551030216.0830808</v>
      </c>
      <c r="H266" s="4"/>
      <c r="I266" s="4"/>
      <c r="J266" s="4"/>
      <c r="K266" s="4"/>
    </row>
    <row r="267" spans="2:11" x14ac:dyDescent="0.25">
      <c r="B267" t="str">
        <f t="shared" si="148"/>
        <v>-20% Cowcalf:Finisher</v>
      </c>
      <c r="C267">
        <f>(SUM(C2:C7)+SUM(C225:C229))*$I1*1000000</f>
        <v>2347231846.0531096</v>
      </c>
      <c r="D267">
        <f t="shared" ref="D267:E267" si="163">(SUM(D2:D7)+SUM(D225:D229))*$I1*1000000</f>
        <v>4213117613.1379623</v>
      </c>
      <c r="E267">
        <f t="shared" si="163"/>
        <v>4137365701.6425877</v>
      </c>
      <c r="H267" s="4"/>
      <c r="I267" s="4"/>
      <c r="J267" s="4"/>
      <c r="K267" s="4"/>
    </row>
    <row r="268" spans="2:11" x14ac:dyDescent="0.25">
      <c r="B268" t="str">
        <f t="shared" si="148"/>
        <v>+20% Commercial:Subsistence</v>
      </c>
      <c r="C268">
        <f>(SUM(C2:C7)+SUM(C234:C238))*$I1*1000000</f>
        <v>2329894650.9025669</v>
      </c>
      <c r="D268">
        <f t="shared" ref="D268:E268" si="164">(SUM(D2:D7)+SUM(D234:D238))*$I1*1000000</f>
        <v>4104773160.399034</v>
      </c>
      <c r="E268">
        <f t="shared" si="164"/>
        <v>4054537314.459631</v>
      </c>
      <c r="H268" s="4"/>
      <c r="I268" s="4"/>
      <c r="J268" s="4"/>
      <c r="K268" s="4"/>
    </row>
    <row r="269" spans="2:11" x14ac:dyDescent="0.25">
      <c r="B269" t="str">
        <f t="shared" si="148"/>
        <v>-20% Commercial:Subsistence</v>
      </c>
      <c r="C269">
        <f>(SUM(C2:C7)+SUM(C243:C247))*$I1*1000000</f>
        <v>1856971598.0293036</v>
      </c>
      <c r="D269">
        <f t="shared" ref="D269:E269" si="165">(SUM(D2:D7)+SUM(D243:D247))*$I1*1000000</f>
        <v>3697207714.0380096</v>
      </c>
      <c r="E269">
        <f t="shared" si="165"/>
        <v>3659987699.8764505</v>
      </c>
      <c r="H269" s="4"/>
      <c r="I269" s="4"/>
      <c r="J269" s="4"/>
      <c r="K269" s="4"/>
    </row>
    <row r="270" spans="2:11" x14ac:dyDescent="0.25">
      <c r="B270" t="s">
        <v>60</v>
      </c>
      <c r="C270">
        <f>C86*$I4*1000000</f>
        <v>6084543.7504571546</v>
      </c>
      <c r="D270">
        <f t="shared" ref="D270:E270" si="166">D86*$I4*1000000</f>
        <v>296791389.84075361</v>
      </c>
      <c r="E270">
        <f t="shared" si="166"/>
        <v>1283460979.0919886</v>
      </c>
      <c r="H270" s="4"/>
      <c r="I270" s="4"/>
      <c r="J270" s="4"/>
      <c r="K270" s="4"/>
    </row>
    <row r="271" spans="2:11" x14ac:dyDescent="0.25">
      <c r="B271" t="s">
        <v>80</v>
      </c>
      <c r="C271">
        <f>C87*$I5*1000000</f>
        <v>330233326.78803521</v>
      </c>
      <c r="D271">
        <f t="shared" ref="D271:E271" si="167">D87*$I5*1000000</f>
        <v>270147355.12926507</v>
      </c>
      <c r="E271">
        <f t="shared" si="167"/>
        <v>254268382.555639</v>
      </c>
      <c r="H271" s="4"/>
      <c r="I271" s="4"/>
      <c r="J271" s="4"/>
      <c r="K271" s="4"/>
    </row>
    <row r="272" spans="2:11" x14ac:dyDescent="0.25">
      <c r="H272" s="4"/>
      <c r="I272" s="4"/>
      <c r="J272" s="4"/>
      <c r="K272" s="4"/>
    </row>
    <row r="273" spans="2:11" x14ac:dyDescent="0.25">
      <c r="B273" s="46" t="s">
        <v>161</v>
      </c>
      <c r="C273" s="46"/>
      <c r="D273" s="46"/>
      <c r="E273" s="46"/>
      <c r="H273" s="4"/>
      <c r="I273" s="4"/>
      <c r="J273" s="4"/>
      <c r="K273" s="4"/>
    </row>
    <row r="274" spans="2:11" x14ac:dyDescent="0.25">
      <c r="B274" t="str">
        <f>B252</f>
        <v>+20% Herd size</v>
      </c>
      <c r="C274" s="7">
        <f>365*(C252+C$270+C$271)*(1-$I$6)*($I$9)/1000/1000000</f>
        <v>18.626497162946102</v>
      </c>
      <c r="D274" s="7">
        <f t="shared" ref="D274:E274" si="168">365*(D252+D$270+D$271)*(1-$I$6)*($I$9)/1000/1000000</f>
        <v>34.070888845761139</v>
      </c>
      <c r="E274" s="7">
        <f t="shared" si="168"/>
        <v>40.046299820109965</v>
      </c>
      <c r="H274" s="4"/>
      <c r="I274" s="4"/>
      <c r="J274" s="4"/>
      <c r="K274" s="4"/>
    </row>
    <row r="275" spans="2:11" x14ac:dyDescent="0.25">
      <c r="B275" t="str">
        <f t="shared" ref="B275:B291" si="169">B253</f>
        <v xml:space="preserve">-20% Herd size </v>
      </c>
      <c r="C275" s="7">
        <f t="shared" ref="C275:E275" si="170">365*(C253+C$270+C$271)*(1-$I$6)*($I$9)/1000/1000000</f>
        <v>14.719405492494662</v>
      </c>
      <c r="D275" s="7">
        <f t="shared" si="170"/>
        <v>27.246971250594388</v>
      </c>
      <c r="E275" s="7">
        <f t="shared" si="170"/>
        <v>34.149703904308005</v>
      </c>
      <c r="H275" s="4"/>
      <c r="I275" s="4"/>
      <c r="J275" s="4"/>
      <c r="K275" s="4"/>
    </row>
    <row r="276" spans="2:11" x14ac:dyDescent="0.25">
      <c r="B276" t="str">
        <f t="shared" si="169"/>
        <v>+20% Zebu</v>
      </c>
      <c r="C276" s="7">
        <f t="shared" ref="C276:E276" si="171">365*(C254+C$270+C$271)*(1-$I$6)*($I$9)/1000/1000000</f>
        <v>16.282242160675239</v>
      </c>
      <c r="D276" s="7">
        <f t="shared" si="171"/>
        <v>29.976538288661093</v>
      </c>
      <c r="E276" s="7">
        <f t="shared" si="171"/>
        <v>36.508342270628788</v>
      </c>
      <c r="H276" s="4"/>
      <c r="I276" s="4"/>
      <c r="J276" s="4"/>
      <c r="K276" s="4"/>
    </row>
    <row r="277" spans="2:11" x14ac:dyDescent="0.25">
      <c r="B277" t="str">
        <f t="shared" si="169"/>
        <v>-20% Zebu</v>
      </c>
      <c r="C277" s="7">
        <f t="shared" ref="C277:E277" si="172">365*(C255+C$270+C$271)*(1-$I$6)*($I$9)/1000/1000000</f>
        <v>16.282242160675239</v>
      </c>
      <c r="D277" s="7">
        <f t="shared" si="172"/>
        <v>29.976538288661093</v>
      </c>
      <c r="E277" s="7">
        <f t="shared" si="172"/>
        <v>36.508342270628788</v>
      </c>
      <c r="H277" s="4"/>
      <c r="I277" s="4"/>
      <c r="J277" s="4"/>
      <c r="K277" s="4"/>
    </row>
    <row r="278" spans="2:11" x14ac:dyDescent="0.25">
      <c r="B278" t="str">
        <f t="shared" si="169"/>
        <v>+20% Boran</v>
      </c>
      <c r="C278" s="7">
        <f t="shared" ref="C278:E278" si="173">365*(C256+C$270+C$271)*(1-$I$6)*($I$9)/1000/1000000</f>
        <v>16.282242160675239</v>
      </c>
      <c r="D278" s="7">
        <f t="shared" si="173"/>
        <v>29.976538288661093</v>
      </c>
      <c r="E278" s="7">
        <f t="shared" si="173"/>
        <v>36.508342270628788</v>
      </c>
      <c r="H278" s="4"/>
      <c r="I278" s="4"/>
      <c r="J278" s="4"/>
      <c r="K278" s="4"/>
    </row>
    <row r="279" spans="2:11" x14ac:dyDescent="0.25">
      <c r="B279" t="str">
        <f t="shared" si="169"/>
        <v>-20% Boran</v>
      </c>
      <c r="C279" s="7">
        <f t="shared" ref="C279:E279" si="174">365*(C257+C$270+C$271)*(1-$I$6)*($I$9)/1000/1000000</f>
        <v>16.282242160675239</v>
      </c>
      <c r="D279" s="7">
        <f t="shared" si="174"/>
        <v>29.976538288661093</v>
      </c>
      <c r="E279" s="7">
        <f t="shared" si="174"/>
        <v>36.508342270628788</v>
      </c>
      <c r="H279" s="4"/>
      <c r="I279" s="4"/>
      <c r="J279" s="4"/>
      <c r="K279" s="4"/>
    </row>
    <row r="280" spans="2:11" x14ac:dyDescent="0.25">
      <c r="B280" t="str">
        <f t="shared" si="169"/>
        <v>+20% Exotic</v>
      </c>
      <c r="C280" s="7">
        <f t="shared" ref="C280:E280" si="175">365*(C258+C$270+C$271)*(1-$I$6)*($I$9)/1000/1000000</f>
        <v>16.282242160675239</v>
      </c>
      <c r="D280" s="7">
        <f t="shared" si="175"/>
        <v>29.976538288661093</v>
      </c>
      <c r="E280" s="7">
        <f t="shared" si="175"/>
        <v>36.508342270628788</v>
      </c>
      <c r="H280" s="4"/>
      <c r="I280" s="4"/>
      <c r="J280" s="4"/>
      <c r="K280" s="4"/>
    </row>
    <row r="281" spans="2:11" x14ac:dyDescent="0.25">
      <c r="B281" t="str">
        <f t="shared" si="169"/>
        <v>-20% Exotic</v>
      </c>
      <c r="C281" s="7">
        <f t="shared" ref="C281:E281" si="176">365*(C259+C$270+C$271)*(1-$I$6)*($I$9)/1000/1000000</f>
        <v>16.282242160675239</v>
      </c>
      <c r="D281" s="7">
        <f t="shared" si="176"/>
        <v>29.976538288661093</v>
      </c>
      <c r="E281" s="7">
        <f t="shared" si="176"/>
        <v>36.508342270628788</v>
      </c>
      <c r="H281" s="4"/>
      <c r="I281" s="4"/>
      <c r="J281" s="4"/>
      <c r="K281" s="4"/>
    </row>
    <row r="282" spans="2:11" x14ac:dyDescent="0.25">
      <c r="B282" t="str">
        <f t="shared" si="169"/>
        <v>+20% Finisher:Breeder</v>
      </c>
      <c r="C282" s="7">
        <f t="shared" ref="C282:E282" si="177">365*(C260+C$270+C$271)*(1-$I$6)*($I$9)/1000/1000000</f>
        <v>16.282242160675239</v>
      </c>
      <c r="D282" s="7">
        <f t="shared" si="177"/>
        <v>29.976538288661093</v>
      </c>
      <c r="E282" s="7">
        <f t="shared" si="177"/>
        <v>36.508342270628788</v>
      </c>
      <c r="H282" s="4"/>
      <c r="I282" s="4"/>
      <c r="J282" s="4"/>
      <c r="K282" s="4"/>
    </row>
    <row r="283" spans="2:11" x14ac:dyDescent="0.25">
      <c r="B283" t="str">
        <f t="shared" si="169"/>
        <v>-20% Finisher:Breeder</v>
      </c>
      <c r="C283" s="7">
        <f t="shared" ref="C283:E283" si="178">365*(C261+C$270+C$271)*(1-$I$6)*($I$9)/1000/1000000</f>
        <v>16.282242160675239</v>
      </c>
      <c r="D283" s="7">
        <f t="shared" si="178"/>
        <v>29.976538288661093</v>
      </c>
      <c r="E283" s="7">
        <f t="shared" si="178"/>
        <v>36.508342270628788</v>
      </c>
      <c r="H283" s="4"/>
      <c r="I283" s="4"/>
      <c r="J283" s="4"/>
      <c r="K283" s="4"/>
    </row>
    <row r="284" spans="2:11" x14ac:dyDescent="0.25">
      <c r="B284" t="str">
        <f t="shared" si="169"/>
        <v>+20% Pastoral:Agropastoral</v>
      </c>
      <c r="C284" s="7">
        <f t="shared" ref="C284:E284" si="179">365*(C262+C$270+C$271)*(1-$I$6)*($I$9)/1000/1000000</f>
        <v>16.480810265165772</v>
      </c>
      <c r="D284" s="7">
        <f t="shared" si="179"/>
        <v>29.496939655672186</v>
      </c>
      <c r="E284" s="7">
        <f t="shared" si="179"/>
        <v>35.942899459691823</v>
      </c>
      <c r="H284" s="4"/>
      <c r="I284" s="4"/>
      <c r="J284" s="4"/>
      <c r="K284" s="4"/>
    </row>
    <row r="285" spans="2:11" x14ac:dyDescent="0.25">
      <c r="B285" t="str">
        <f t="shared" si="169"/>
        <v>-20% Pastoral:Agropastoral</v>
      </c>
      <c r="C285" s="7">
        <f t="shared" ref="C285:E285" si="180">365*(C263+C$270+C$271)*(1-$I$6)*($I$9)/1000/1000000</f>
        <v>16.149863424348219</v>
      </c>
      <c r="D285" s="7">
        <f t="shared" si="180"/>
        <v>30.858857271873738</v>
      </c>
      <c r="E285" s="7">
        <f t="shared" si="180"/>
        <v>37.356506487034231</v>
      </c>
      <c r="H285" s="4"/>
      <c r="I285" s="4"/>
      <c r="J285" s="4"/>
      <c r="K285" s="4"/>
    </row>
    <row r="286" spans="2:11" x14ac:dyDescent="0.25">
      <c r="B286" t="str">
        <f t="shared" si="169"/>
        <v>+20% Mixed:Agropastoral</v>
      </c>
      <c r="C286" s="7">
        <f t="shared" ref="C286:E286" si="181">365*(C264+C$270+C$271)*(1-$I$6)*($I$9)/1000/1000000</f>
        <v>16.282242160675239</v>
      </c>
      <c r="D286" s="7">
        <f t="shared" si="181"/>
        <v>29.301434415197036</v>
      </c>
      <c r="E286" s="7">
        <f t="shared" si="181"/>
        <v>36.098034776483559</v>
      </c>
      <c r="H286" s="4"/>
      <c r="I286" s="4"/>
      <c r="J286" s="4"/>
      <c r="K286" s="4"/>
    </row>
    <row r="287" spans="2:11" x14ac:dyDescent="0.25">
      <c r="B287" t="str">
        <f t="shared" si="169"/>
        <v>-20% Mixed:Agropastoral</v>
      </c>
      <c r="C287" s="7">
        <f t="shared" ref="C287:E287" si="182">365*(C265+C$270+C$271)*(1-$I$6)*($I$9)/1000/1000000</f>
        <v>16.282242160675239</v>
      </c>
      <c r="D287" s="7">
        <f t="shared" si="182"/>
        <v>30.989194098857173</v>
      </c>
      <c r="E287" s="7">
        <f t="shared" si="182"/>
        <v>37.25308294250641</v>
      </c>
      <c r="H287" s="4"/>
      <c r="I287" s="4"/>
      <c r="J287" s="4"/>
      <c r="K287" s="4"/>
    </row>
    <row r="288" spans="2:11" x14ac:dyDescent="0.25">
      <c r="B288" t="str">
        <f t="shared" si="169"/>
        <v>+20% Cowcalf:Finisher</v>
      </c>
      <c r="C288" s="7">
        <f t="shared" ref="C288:E288" si="183">365*(C266+C$270+C$271)*(1-$I$6)*($I$9)/1000/1000000</f>
        <v>14.865195132025681</v>
      </c>
      <c r="D288" s="7">
        <f t="shared" si="183"/>
        <v>28.114393016794828</v>
      </c>
      <c r="E288" s="7">
        <f t="shared" si="183"/>
        <v>34.919068222388127</v>
      </c>
      <c r="H288" s="4"/>
      <c r="I288" s="4"/>
      <c r="J288" s="4"/>
      <c r="K288" s="4"/>
    </row>
    <row r="289" spans="2:11" x14ac:dyDescent="0.25">
      <c r="B289" t="str">
        <f t="shared" si="169"/>
        <v>-20% Cowcalf:Finisher</v>
      </c>
      <c r="C289" s="7">
        <f t="shared" ref="C289:E289" si="184">365*(C267+C$270+C$271)*(1-$I$6)*($I$9)/1000/1000000</f>
        <v>18.414518155251571</v>
      </c>
      <c r="D289" s="7">
        <f t="shared" si="184"/>
        <v>32.800746729336964</v>
      </c>
      <c r="E289" s="7">
        <f t="shared" si="184"/>
        <v>38.942502324297458</v>
      </c>
      <c r="H289" s="4"/>
      <c r="I289" s="4"/>
      <c r="J289" s="4"/>
      <c r="K289" s="4"/>
    </row>
    <row r="290" spans="2:11" x14ac:dyDescent="0.25">
      <c r="B290" t="str">
        <f t="shared" si="169"/>
        <v>+20% Commercial:Subsistence</v>
      </c>
      <c r="C290" s="7">
        <f t="shared" ref="C290:E290" si="185">365*(C268+C$270+C$271)*(1-$I$6)*($I$9)/1000/1000000</f>
        <v>18.295550322128552</v>
      </c>
      <c r="D290" s="7">
        <f t="shared" si="185"/>
        <v>32.05728709464244</v>
      </c>
      <c r="E290" s="7">
        <f t="shared" si="185"/>
        <v>38.374133931448007</v>
      </c>
      <c r="H290" s="4"/>
      <c r="I290" s="4"/>
      <c r="J290" s="4"/>
      <c r="K290" s="4"/>
    </row>
    <row r="291" spans="2:11" x14ac:dyDescent="0.25">
      <c r="B291" t="str">
        <f t="shared" si="169"/>
        <v>-20% Commercial:Subsistence</v>
      </c>
      <c r="C291" s="7">
        <f>365*(C269+C$270+C$271)*(1-$I$6)*($I$9)/1000/1000000</f>
        <v>15.050352333312214</v>
      </c>
      <c r="D291" s="7">
        <f t="shared" ref="D291:E291" si="186">365*(D269+D$270+D$271)*(1-$I$6)*($I$9)/1000/1000000</f>
        <v>29.260573001713087</v>
      </c>
      <c r="E291" s="7">
        <f t="shared" si="186"/>
        <v>35.66673447617822</v>
      </c>
      <c r="H291" s="4"/>
      <c r="I291" s="4"/>
      <c r="J291" s="4"/>
      <c r="K291" s="4"/>
    </row>
    <row r="292" spans="2:11" x14ac:dyDescent="0.25">
      <c r="H292" s="4"/>
      <c r="I292" s="4"/>
      <c r="J292" s="4"/>
      <c r="K292" s="4"/>
    </row>
    <row r="293" spans="2:11" x14ac:dyDescent="0.25">
      <c r="C293" s="7">
        <f>C20</f>
        <v>11.214491800146961</v>
      </c>
      <c r="H293" s="4"/>
      <c r="I293" s="4"/>
      <c r="J293" s="4"/>
      <c r="K293" s="4"/>
    </row>
    <row r="294" spans="2:11" x14ac:dyDescent="0.25">
      <c r="B294" s="18" t="s">
        <v>164</v>
      </c>
      <c r="C294" s="27">
        <f>C49</f>
        <v>12.151858686054949</v>
      </c>
      <c r="D294" s="27">
        <f t="shared" ref="D294:E294" si="187">D49</f>
        <v>19.619822257325151</v>
      </c>
      <c r="E294" s="27">
        <f t="shared" si="187"/>
        <v>14.483559517089713</v>
      </c>
      <c r="H294" s="4"/>
      <c r="I294" s="4"/>
      <c r="J294" s="4"/>
      <c r="K294" s="4"/>
    </row>
    <row r="295" spans="2:11" x14ac:dyDescent="0.25">
      <c r="B295" s="1"/>
      <c r="C295" s="13"/>
      <c r="D295" s="13"/>
      <c r="E295" s="13"/>
      <c r="H295" s="4"/>
      <c r="I295" s="4"/>
      <c r="J295" s="4"/>
      <c r="K295" s="4"/>
    </row>
    <row r="296" spans="2:11" x14ac:dyDescent="0.25">
      <c r="B296" s="17" t="s">
        <v>166</v>
      </c>
      <c r="C296" s="13">
        <f>C22</f>
        <v>1.3307018984028698</v>
      </c>
      <c r="D296" s="13">
        <f t="shared" ref="D296:E296" si="188">D22</f>
        <v>1.3356646154172063</v>
      </c>
      <c r="E296" s="13">
        <f t="shared" si="188"/>
        <v>0.96207277131218349</v>
      </c>
      <c r="H296" s="4"/>
      <c r="I296" s="4"/>
      <c r="J296" s="4"/>
      <c r="K296" s="4"/>
    </row>
    <row r="297" spans="2:11" x14ac:dyDescent="0.25">
      <c r="B297" s="1"/>
      <c r="C297" s="13"/>
      <c r="D297" s="13"/>
      <c r="E297" s="13"/>
      <c r="H297" s="4"/>
      <c r="I297" s="4"/>
      <c r="J297" s="4"/>
      <c r="K297" s="4"/>
    </row>
    <row r="298" spans="2:11" x14ac:dyDescent="0.25">
      <c r="B298" s="1"/>
      <c r="C298" s="13"/>
      <c r="D298" s="13"/>
      <c r="E298" s="13"/>
      <c r="H298" s="4"/>
      <c r="I298" s="4"/>
      <c r="J298" s="4"/>
      <c r="K298" s="4"/>
    </row>
    <row r="299" spans="2:11" x14ac:dyDescent="0.25">
      <c r="H299" s="4"/>
      <c r="I299" s="4"/>
      <c r="J299" s="4"/>
      <c r="K299" s="4"/>
    </row>
    <row r="300" spans="2:11" x14ac:dyDescent="0.25">
      <c r="B300" s="48" t="s">
        <v>165</v>
      </c>
      <c r="C300" s="48"/>
      <c r="D300" s="48"/>
      <c r="E300" s="48"/>
      <c r="H300" s="4"/>
      <c r="I300" s="4"/>
      <c r="J300" s="4"/>
      <c r="K300" s="4"/>
    </row>
    <row r="301" spans="2:11" x14ac:dyDescent="0.25">
      <c r="B301" t="str">
        <f t="shared" ref="B301:B318" si="189">B252</f>
        <v>+20% Herd size</v>
      </c>
      <c r="C301">
        <f>C$294/C274</f>
        <v>0.65239634590172846</v>
      </c>
      <c r="D301">
        <f t="shared" ref="D301:E301" si="190">D$294/D274</f>
        <v>0.57585296192723512</v>
      </c>
      <c r="E301">
        <f t="shared" si="190"/>
        <v>0.36167035611656023</v>
      </c>
      <c r="H301" s="4"/>
      <c r="I301" s="4"/>
      <c r="J301" s="4"/>
      <c r="K301" s="4"/>
    </row>
    <row r="302" spans="2:11" x14ac:dyDescent="0.25">
      <c r="B302" t="str">
        <f t="shared" si="189"/>
        <v xml:space="preserve">-20% Herd size </v>
      </c>
      <c r="C302">
        <f t="shared" ref="C302:E302" si="191">C$294/C275</f>
        <v>0.82556722092146384</v>
      </c>
      <c r="D302">
        <f t="shared" si="191"/>
        <v>0.7200735111759311</v>
      </c>
      <c r="E302">
        <f t="shared" si="191"/>
        <v>0.42411962216933319</v>
      </c>
      <c r="H302" s="4"/>
      <c r="I302" s="4"/>
      <c r="J302" s="4"/>
      <c r="K302" s="4"/>
    </row>
    <row r="303" spans="2:11" x14ac:dyDescent="0.25">
      <c r="B303" t="str">
        <f t="shared" si="189"/>
        <v>+20% Zebu</v>
      </c>
      <c r="C303">
        <f t="shared" ref="C303:E303" si="192">C$294/C276</f>
        <v>0.74632587859453636</v>
      </c>
      <c r="D303">
        <f t="shared" si="192"/>
        <v>0.65450593622234665</v>
      </c>
      <c r="E303">
        <f t="shared" si="192"/>
        <v>0.39671917748897179</v>
      </c>
      <c r="H303" s="4"/>
      <c r="I303" s="4"/>
      <c r="J303" s="4"/>
      <c r="K303" s="4"/>
    </row>
    <row r="304" spans="2:11" x14ac:dyDescent="0.25">
      <c r="B304" t="str">
        <f t="shared" si="189"/>
        <v>-20% Zebu</v>
      </c>
      <c r="C304">
        <f t="shared" ref="C304:E304" si="193">C$294/C277</f>
        <v>0.74632587859453636</v>
      </c>
      <c r="D304">
        <f t="shared" si="193"/>
        <v>0.65450593622234665</v>
      </c>
      <c r="E304">
        <f t="shared" si="193"/>
        <v>0.39671917748897179</v>
      </c>
      <c r="H304" s="4"/>
      <c r="I304" s="4"/>
      <c r="J304" s="4"/>
      <c r="K304" s="4"/>
    </row>
    <row r="305" spans="2:5" x14ac:dyDescent="0.25">
      <c r="B305" t="str">
        <f t="shared" si="189"/>
        <v>+20% Boran</v>
      </c>
      <c r="C305">
        <f t="shared" ref="C305:E305" si="194">C$294/C278</f>
        <v>0.74632587859453636</v>
      </c>
      <c r="D305">
        <f t="shared" si="194"/>
        <v>0.65450593622234665</v>
      </c>
      <c r="E305">
        <f t="shared" si="194"/>
        <v>0.39671917748897179</v>
      </c>
    </row>
    <row r="306" spans="2:5" x14ac:dyDescent="0.25">
      <c r="B306" t="str">
        <f t="shared" si="189"/>
        <v>-20% Boran</v>
      </c>
      <c r="C306">
        <f t="shared" ref="C306:E306" si="195">C$294/C279</f>
        <v>0.74632587859453636</v>
      </c>
      <c r="D306">
        <f t="shared" si="195"/>
        <v>0.65450593622234665</v>
      </c>
      <c r="E306">
        <f t="shared" si="195"/>
        <v>0.39671917748897179</v>
      </c>
    </row>
    <row r="307" spans="2:5" x14ac:dyDescent="0.25">
      <c r="B307" t="str">
        <f t="shared" si="189"/>
        <v>+20% Exotic</v>
      </c>
      <c r="C307">
        <f t="shared" ref="C307:E307" si="196">C$294/C280</f>
        <v>0.74632587859453636</v>
      </c>
      <c r="D307">
        <f t="shared" si="196"/>
        <v>0.65450593622234665</v>
      </c>
      <c r="E307">
        <f t="shared" si="196"/>
        <v>0.39671917748897179</v>
      </c>
    </row>
    <row r="308" spans="2:5" x14ac:dyDescent="0.25">
      <c r="B308" t="str">
        <f t="shared" si="189"/>
        <v>-20% Exotic</v>
      </c>
      <c r="C308">
        <f t="shared" ref="C308:E308" si="197">C$294/C281</f>
        <v>0.74632587859453636</v>
      </c>
      <c r="D308">
        <f t="shared" si="197"/>
        <v>0.65450593622234665</v>
      </c>
      <c r="E308">
        <f t="shared" si="197"/>
        <v>0.39671917748897179</v>
      </c>
    </row>
    <row r="309" spans="2:5" x14ac:dyDescent="0.25">
      <c r="B309" t="str">
        <f t="shared" si="189"/>
        <v>+20% Finisher:Breeder</v>
      </c>
      <c r="C309">
        <f t="shared" ref="C309:E309" si="198">C$294/C282</f>
        <v>0.74632587859453636</v>
      </c>
      <c r="D309">
        <f t="shared" si="198"/>
        <v>0.65450593622234665</v>
      </c>
      <c r="E309">
        <f t="shared" si="198"/>
        <v>0.39671917748897179</v>
      </c>
    </row>
    <row r="310" spans="2:5" x14ac:dyDescent="0.25">
      <c r="B310" t="str">
        <f t="shared" si="189"/>
        <v>-20% Finisher:Breeder</v>
      </c>
      <c r="C310">
        <f t="shared" ref="C310:E310" si="199">C$294/C283</f>
        <v>0.74632587859453636</v>
      </c>
      <c r="D310">
        <f t="shared" si="199"/>
        <v>0.65450593622234665</v>
      </c>
      <c r="E310">
        <f t="shared" si="199"/>
        <v>0.39671917748897179</v>
      </c>
    </row>
    <row r="311" spans="2:5" x14ac:dyDescent="0.25">
      <c r="B311" t="str">
        <f t="shared" si="189"/>
        <v>+20% Pastoral:Agropastoral</v>
      </c>
      <c r="C311">
        <f t="shared" ref="C311:E311" si="200">C$294/C284</f>
        <v>0.7373338137227029</v>
      </c>
      <c r="D311">
        <f t="shared" si="200"/>
        <v>0.6651477233351667</v>
      </c>
      <c r="E311">
        <f t="shared" si="200"/>
        <v>0.40296024346428438</v>
      </c>
    </row>
    <row r="312" spans="2:5" x14ac:dyDescent="0.25">
      <c r="B312" t="str">
        <f t="shared" si="189"/>
        <v>-20% Pastoral:Agropastoral</v>
      </c>
      <c r="C312">
        <f t="shared" ref="C312:E312" si="201">C$294/C285</f>
        <v>0.75244343352986454</v>
      </c>
      <c r="D312">
        <f t="shared" si="201"/>
        <v>0.63579224870415441</v>
      </c>
      <c r="E312">
        <f t="shared" si="201"/>
        <v>0.38771183065838061</v>
      </c>
    </row>
    <row r="313" spans="2:5" x14ac:dyDescent="0.25">
      <c r="B313" t="str">
        <f t="shared" si="189"/>
        <v>+20% Mixed:Agropastoral</v>
      </c>
      <c r="C313">
        <f t="shared" ref="C313:E313" si="202">C$294/C286</f>
        <v>0.74632587859453636</v>
      </c>
      <c r="D313">
        <f t="shared" si="202"/>
        <v>0.6695857267366212</v>
      </c>
      <c r="E313">
        <f t="shared" si="202"/>
        <v>0.40122847702848297</v>
      </c>
    </row>
    <row r="314" spans="2:5" x14ac:dyDescent="0.25">
      <c r="B314" t="str">
        <f t="shared" si="189"/>
        <v>-20% Mixed:Agropastoral</v>
      </c>
      <c r="C314">
        <f t="shared" ref="C314:E314" si="203">C$294/C287</f>
        <v>0.74632587859453636</v>
      </c>
      <c r="D314">
        <f t="shared" si="203"/>
        <v>0.63311818289746025</v>
      </c>
      <c r="E314">
        <f t="shared" si="203"/>
        <v>0.38878821222508064</v>
      </c>
    </row>
    <row r="315" spans="2:5" x14ac:dyDescent="0.25">
      <c r="B315" t="str">
        <f t="shared" si="189"/>
        <v>+20% Cowcalf:Finisher</v>
      </c>
      <c r="C315">
        <f t="shared" ref="C315:E315" si="204">C$294/C288</f>
        <v>0.81747051270621396</v>
      </c>
      <c r="D315">
        <f t="shared" si="204"/>
        <v>0.69785686803214153</v>
      </c>
      <c r="E315">
        <f t="shared" si="204"/>
        <v>0.4147750857740149</v>
      </c>
    </row>
    <row r="316" spans="2:5" x14ac:dyDescent="0.25">
      <c r="B316" t="str">
        <f t="shared" si="189"/>
        <v>-20% Cowcalf:Finisher</v>
      </c>
      <c r="C316">
        <f t="shared" ref="C316:E316" si="205">C$294/C289</f>
        <v>0.6599064164266174</v>
      </c>
      <c r="D316">
        <f t="shared" si="205"/>
        <v>0.59815169511909905</v>
      </c>
      <c r="E316">
        <f t="shared" si="205"/>
        <v>0.37192164480023571</v>
      </c>
    </row>
    <row r="317" spans="2:5" x14ac:dyDescent="0.25">
      <c r="B317" t="str">
        <f t="shared" si="189"/>
        <v>+20% Commercial:Subsistence</v>
      </c>
      <c r="C317">
        <f t="shared" ref="C317:E317" si="206">C$294/C290</f>
        <v>0.66419749458737076</v>
      </c>
      <c r="D317">
        <f t="shared" si="206"/>
        <v>0.61202378727188378</v>
      </c>
      <c r="E317">
        <f t="shared" si="206"/>
        <v>0.37743026443185168</v>
      </c>
    </row>
    <row r="318" spans="2:5" x14ac:dyDescent="0.25">
      <c r="B318" t="str">
        <f t="shared" si="189"/>
        <v>-20% Commercial:Subsistence</v>
      </c>
      <c r="C318">
        <f t="shared" ref="C318:E318" si="207">C$294/C291</f>
        <v>0.80741356859521596</v>
      </c>
      <c r="D318">
        <f t="shared" si="207"/>
        <v>0.67052078085335132</v>
      </c>
      <c r="E318">
        <f t="shared" si="207"/>
        <v>0.40608033591534065</v>
      </c>
    </row>
    <row r="320" spans="2:5" x14ac:dyDescent="0.25">
      <c r="B320" s="48" t="str">
        <f>B300</f>
        <v>2050 Carrying capacity (S/D)</v>
      </c>
      <c r="C320" s="48"/>
      <c r="D320" s="48"/>
      <c r="E320" s="48"/>
    </row>
    <row r="321" spans="2:7" x14ac:dyDescent="0.25">
      <c r="B321" s="41" t="str">
        <f>B301</f>
        <v>+20% Herd size</v>
      </c>
      <c r="C321" s="13">
        <f>AVERAGE(C301,C$296)</f>
        <v>0.99154912215229918</v>
      </c>
      <c r="D321" s="13">
        <f t="shared" ref="D321:E321" si="208">AVERAGE(D301,D$296)</f>
        <v>0.95575878867222075</v>
      </c>
      <c r="E321" s="13">
        <f t="shared" si="208"/>
        <v>0.66187156371437184</v>
      </c>
    </row>
    <row r="322" spans="2:7" x14ac:dyDescent="0.25">
      <c r="B322" s="41" t="str">
        <f t="shared" ref="B322:B338" si="209">B302</f>
        <v xml:space="preserve">-20% Herd size </v>
      </c>
      <c r="C322" s="13">
        <f t="shared" ref="C322:E322" si="210">AVERAGE(C302,C$296)</f>
        <v>1.0781345596621668</v>
      </c>
      <c r="D322" s="13">
        <f t="shared" si="210"/>
        <v>1.0278690632965688</v>
      </c>
      <c r="E322" s="13">
        <f t="shared" si="210"/>
        <v>0.69309619674075829</v>
      </c>
    </row>
    <row r="323" spans="2:7" x14ac:dyDescent="0.25">
      <c r="B323" t="str">
        <f t="shared" si="209"/>
        <v>+20% Zebu</v>
      </c>
      <c r="C323" s="13">
        <f t="shared" ref="C323:E323" si="211">AVERAGE(C303,C$296)</f>
        <v>1.0385138884987031</v>
      </c>
      <c r="D323" s="13">
        <f t="shared" si="211"/>
        <v>0.99508527581977646</v>
      </c>
      <c r="E323" s="13">
        <f t="shared" si="211"/>
        <v>0.67939597440057764</v>
      </c>
    </row>
    <row r="324" spans="2:7" x14ac:dyDescent="0.25">
      <c r="B324" t="str">
        <f t="shared" si="209"/>
        <v>-20% Zebu</v>
      </c>
      <c r="C324" s="13">
        <f t="shared" ref="C324:E324" si="212">AVERAGE(C304,C$296)</f>
        <v>1.0385138884987031</v>
      </c>
      <c r="D324" s="13">
        <f t="shared" si="212"/>
        <v>0.99508527581977646</v>
      </c>
      <c r="E324" s="13">
        <f t="shared" si="212"/>
        <v>0.67939597440057764</v>
      </c>
      <c r="F324" s="13"/>
    </row>
    <row r="325" spans="2:7" x14ac:dyDescent="0.25">
      <c r="B325" t="str">
        <f t="shared" si="209"/>
        <v>+20% Boran</v>
      </c>
      <c r="C325" s="13">
        <f t="shared" ref="C325:E325" si="213">AVERAGE(C305,C$296)</f>
        <v>1.0385138884987031</v>
      </c>
      <c r="D325" s="13">
        <f t="shared" si="213"/>
        <v>0.99508527581977646</v>
      </c>
      <c r="E325" s="13">
        <f t="shared" si="213"/>
        <v>0.67939597440057764</v>
      </c>
    </row>
    <row r="326" spans="2:7" x14ac:dyDescent="0.25">
      <c r="B326" t="str">
        <f t="shared" si="209"/>
        <v>-20% Boran</v>
      </c>
      <c r="C326" s="13">
        <f t="shared" ref="C326:E326" si="214">AVERAGE(C306,C$296)</f>
        <v>1.0385138884987031</v>
      </c>
      <c r="D326" s="13">
        <f t="shared" si="214"/>
        <v>0.99508527581977646</v>
      </c>
      <c r="E326" s="13">
        <f t="shared" si="214"/>
        <v>0.67939597440057764</v>
      </c>
    </row>
    <row r="327" spans="2:7" x14ac:dyDescent="0.25">
      <c r="B327" t="str">
        <f t="shared" si="209"/>
        <v>+20% Exotic</v>
      </c>
      <c r="C327" s="13">
        <f t="shared" ref="C327:E327" si="215">AVERAGE(C307,C$296)</f>
        <v>1.0385138884987031</v>
      </c>
      <c r="D327" s="13">
        <f t="shared" si="215"/>
        <v>0.99508527581977646</v>
      </c>
      <c r="E327" s="13">
        <f t="shared" si="215"/>
        <v>0.67939597440057764</v>
      </c>
    </row>
    <row r="328" spans="2:7" x14ac:dyDescent="0.25">
      <c r="B328" t="str">
        <f t="shared" si="209"/>
        <v>-20% Exotic</v>
      </c>
      <c r="C328" s="13">
        <f t="shared" ref="C328:E328" si="216">AVERAGE(C308,C$296)</f>
        <v>1.0385138884987031</v>
      </c>
      <c r="D328" s="13">
        <f t="shared" si="216"/>
        <v>0.99508527581977646</v>
      </c>
      <c r="E328" s="13">
        <f t="shared" si="216"/>
        <v>0.67939597440057764</v>
      </c>
      <c r="G328" t="s">
        <v>167</v>
      </c>
    </row>
    <row r="329" spans="2:7" x14ac:dyDescent="0.25">
      <c r="B329" t="str">
        <f t="shared" si="209"/>
        <v>+20% Finisher:Breeder</v>
      </c>
      <c r="C329" s="13">
        <f t="shared" ref="C329:E329" si="217">AVERAGE(C309,C$296)</f>
        <v>1.0385138884987031</v>
      </c>
      <c r="D329" s="13">
        <f t="shared" si="217"/>
        <v>0.99508527581977646</v>
      </c>
      <c r="E329" s="13">
        <f t="shared" si="217"/>
        <v>0.67939597440057764</v>
      </c>
      <c r="G329" s="41" t="s">
        <v>168</v>
      </c>
    </row>
    <row r="330" spans="2:7" x14ac:dyDescent="0.25">
      <c r="B330" t="str">
        <f t="shared" si="209"/>
        <v>-20% Finisher:Breeder</v>
      </c>
      <c r="C330" s="13">
        <f t="shared" ref="C330:E330" si="218">AVERAGE(C310,C$296)</f>
        <v>1.0385138884987031</v>
      </c>
      <c r="D330" s="13">
        <f t="shared" si="218"/>
        <v>0.99508527581977646</v>
      </c>
      <c r="E330" s="13">
        <f t="shared" si="218"/>
        <v>0.67939597440057764</v>
      </c>
    </row>
    <row r="331" spans="2:7" x14ac:dyDescent="0.25">
      <c r="B331" s="41" t="str">
        <f t="shared" si="209"/>
        <v>+20% Pastoral:Agropastoral</v>
      </c>
      <c r="C331" s="13">
        <f t="shared" ref="C331:E331" si="219">AVERAGE(C311,C$296)</f>
        <v>1.0340178560627864</v>
      </c>
      <c r="D331" s="13">
        <f t="shared" si="219"/>
        <v>1.0004061693761865</v>
      </c>
      <c r="E331" s="13">
        <f t="shared" si="219"/>
        <v>0.682516507388234</v>
      </c>
    </row>
    <row r="332" spans="2:7" x14ac:dyDescent="0.25">
      <c r="B332" s="41" t="str">
        <f t="shared" si="209"/>
        <v>-20% Pastoral:Agropastoral</v>
      </c>
      <c r="C332" s="13">
        <f t="shared" ref="C332:E332" si="220">AVERAGE(C312,C$296)</f>
        <v>1.0415726659663671</v>
      </c>
      <c r="D332" s="13">
        <f t="shared" si="220"/>
        <v>0.98572843206068028</v>
      </c>
      <c r="E332" s="13">
        <f t="shared" si="220"/>
        <v>0.67489230098528208</v>
      </c>
    </row>
    <row r="333" spans="2:7" x14ac:dyDescent="0.25">
      <c r="B333" s="41" t="str">
        <f t="shared" si="209"/>
        <v>+20% Mixed:Agropastoral</v>
      </c>
      <c r="C333" s="13">
        <f t="shared" ref="C333:E333" si="221">AVERAGE(C313,C$296)</f>
        <v>1.0385138884987031</v>
      </c>
      <c r="D333" s="13">
        <f t="shared" si="221"/>
        <v>1.0026251710769136</v>
      </c>
      <c r="E333" s="13">
        <f t="shared" si="221"/>
        <v>0.68165062417033329</v>
      </c>
    </row>
    <row r="334" spans="2:7" x14ac:dyDescent="0.25">
      <c r="B334" s="41" t="str">
        <f t="shared" si="209"/>
        <v>-20% Mixed:Agropastoral</v>
      </c>
      <c r="C334" s="13">
        <f t="shared" ref="C334:E334" si="222">AVERAGE(C314,C$296)</f>
        <v>1.0385138884987031</v>
      </c>
      <c r="D334" s="13">
        <f t="shared" si="222"/>
        <v>0.9843913991573332</v>
      </c>
      <c r="E334" s="13">
        <f t="shared" si="222"/>
        <v>0.67543049176863201</v>
      </c>
    </row>
    <row r="335" spans="2:7" x14ac:dyDescent="0.25">
      <c r="B335" s="41" t="str">
        <f t="shared" si="209"/>
        <v>+20% Cowcalf:Finisher</v>
      </c>
      <c r="C335" s="13">
        <f t="shared" ref="C335:E335" si="223">AVERAGE(C315,C$296)</f>
        <v>1.0740862055545419</v>
      </c>
      <c r="D335" s="13">
        <f t="shared" si="223"/>
        <v>1.0167607417246738</v>
      </c>
      <c r="E335" s="13">
        <f t="shared" si="223"/>
        <v>0.6884239285430992</v>
      </c>
    </row>
    <row r="336" spans="2:7" x14ac:dyDescent="0.25">
      <c r="B336" s="41" t="str">
        <f t="shared" si="209"/>
        <v>-20% Cowcalf:Finisher</v>
      </c>
      <c r="C336" s="13">
        <f t="shared" ref="C336:E336" si="224">AVERAGE(C316,C$296)</f>
        <v>0.99530415741474365</v>
      </c>
      <c r="D336" s="13">
        <f t="shared" si="224"/>
        <v>0.96690815526815266</v>
      </c>
      <c r="E336" s="13">
        <f t="shared" si="224"/>
        <v>0.66699720805620966</v>
      </c>
    </row>
    <row r="337" spans="2:5" x14ac:dyDescent="0.25">
      <c r="B337" s="41" t="str">
        <f t="shared" si="209"/>
        <v>+20% Commercial:Subsistence</v>
      </c>
      <c r="C337" s="13">
        <f t="shared" ref="C337:E337" si="225">AVERAGE(C317,C$296)</f>
        <v>0.99744969649512027</v>
      </c>
      <c r="D337" s="13">
        <f t="shared" si="225"/>
        <v>0.97384420134454497</v>
      </c>
      <c r="E337" s="13">
        <f t="shared" si="225"/>
        <v>0.66975151787201759</v>
      </c>
    </row>
    <row r="338" spans="2:5" x14ac:dyDescent="0.25">
      <c r="B338" s="41" t="str">
        <f t="shared" si="209"/>
        <v>-20% Commercial:Subsistence</v>
      </c>
      <c r="C338" s="13">
        <f t="shared" ref="C338:E338" si="226">AVERAGE(C318,C$296)</f>
        <v>1.0690577334990428</v>
      </c>
      <c r="D338" s="13">
        <f t="shared" si="226"/>
        <v>1.0030926981352788</v>
      </c>
      <c r="E338" s="13">
        <f t="shared" si="226"/>
        <v>0.68407655361376207</v>
      </c>
    </row>
  </sheetData>
  <mergeCells count="34">
    <mergeCell ref="B98:E98"/>
    <mergeCell ref="B107:E107"/>
    <mergeCell ref="B143:E143"/>
    <mergeCell ref="B152:E152"/>
    <mergeCell ref="B320:E320"/>
    <mergeCell ref="B242:E242"/>
    <mergeCell ref="H78:I78"/>
    <mergeCell ref="B251:E251"/>
    <mergeCell ref="B300:E300"/>
    <mergeCell ref="B273:E273"/>
    <mergeCell ref="B197:E197"/>
    <mergeCell ref="B206:E206"/>
    <mergeCell ref="B215:E215"/>
    <mergeCell ref="B224:E224"/>
    <mergeCell ref="B233:E233"/>
    <mergeCell ref="B78:E78"/>
    <mergeCell ref="B80:E80"/>
    <mergeCell ref="B89:E89"/>
    <mergeCell ref="B161:E161"/>
    <mergeCell ref="B170:E170"/>
    <mergeCell ref="B179:E179"/>
    <mergeCell ref="B188:E188"/>
    <mergeCell ref="B26:E26"/>
    <mergeCell ref="B43:E43"/>
    <mergeCell ref="B27:E27"/>
    <mergeCell ref="B69:E69"/>
    <mergeCell ref="B51:E51"/>
    <mergeCell ref="B44:E44"/>
    <mergeCell ref="B62:E62"/>
    <mergeCell ref="B36:E36"/>
    <mergeCell ref="B61:E61"/>
    <mergeCell ref="B116:E116"/>
    <mergeCell ref="B125:E125"/>
    <mergeCell ref="B134:E13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4EB7-C836-4DCC-ABF5-09A401451DC6}">
  <dimension ref="A1:F67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114</v>
      </c>
    </row>
    <row r="2" spans="1:6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s="31">
        <f>Herd_decision_tree!B11</f>
        <v>3.7635434639855019</v>
      </c>
    </row>
    <row r="3" spans="1:6" x14ac:dyDescent="0.25">
      <c r="A3" t="s">
        <v>99</v>
      </c>
      <c r="B3" t="s">
        <v>100</v>
      </c>
      <c r="C3" t="s">
        <v>101</v>
      </c>
      <c r="D3" t="s">
        <v>104</v>
      </c>
      <c r="E3" t="s">
        <v>103</v>
      </c>
      <c r="F3">
        <f>F2</f>
        <v>3.7635434639855019</v>
      </c>
    </row>
    <row r="4" spans="1:6" x14ac:dyDescent="0.25">
      <c r="A4" t="s">
        <v>99</v>
      </c>
      <c r="B4" t="s">
        <v>100</v>
      </c>
      <c r="C4" t="s">
        <v>101</v>
      </c>
      <c r="D4" t="s">
        <v>105</v>
      </c>
      <c r="E4" t="s">
        <v>103</v>
      </c>
      <c r="F4">
        <f>F3</f>
        <v>3.7635434639855019</v>
      </c>
    </row>
    <row r="5" spans="1:6" x14ac:dyDescent="0.25">
      <c r="A5" t="s">
        <v>99</v>
      </c>
      <c r="B5" t="s">
        <v>100</v>
      </c>
      <c r="C5" t="s">
        <v>106</v>
      </c>
      <c r="D5" t="str">
        <f>D2</f>
        <v>male.finisher</v>
      </c>
      <c r="E5" t="s">
        <v>103</v>
      </c>
      <c r="F5" s="31">
        <f>Herd_decision_tree!C11</f>
        <v>3.7054917347022234</v>
      </c>
    </row>
    <row r="6" spans="1:6" x14ac:dyDescent="0.25">
      <c r="A6" t="s">
        <v>99</v>
      </c>
      <c r="B6" t="s">
        <v>100</v>
      </c>
      <c r="C6" t="s">
        <v>106</v>
      </c>
      <c r="D6" t="str">
        <f t="shared" ref="D6:D67" si="0">D3</f>
        <v>female.finisher</v>
      </c>
      <c r="E6" t="s">
        <v>103</v>
      </c>
      <c r="F6">
        <f>F5</f>
        <v>3.7054917347022234</v>
      </c>
    </row>
    <row r="7" spans="1:6" x14ac:dyDescent="0.25">
      <c r="A7" t="s">
        <v>99</v>
      </c>
      <c r="B7" t="s">
        <v>100</v>
      </c>
      <c r="C7" t="s">
        <v>106</v>
      </c>
      <c r="D7" t="str">
        <f t="shared" si="0"/>
        <v>female.breeder</v>
      </c>
      <c r="E7" t="s">
        <v>103</v>
      </c>
      <c r="F7">
        <f>F6</f>
        <v>3.7054917347022234</v>
      </c>
    </row>
    <row r="8" spans="1:6" x14ac:dyDescent="0.25">
      <c r="A8" t="s">
        <v>107</v>
      </c>
      <c r="B8" t="s">
        <v>100</v>
      </c>
      <c r="C8" t="s">
        <v>101</v>
      </c>
      <c r="D8" t="str">
        <f t="shared" si="0"/>
        <v>male.finisher</v>
      </c>
      <c r="E8" t="s">
        <v>103</v>
      </c>
      <c r="F8" s="31">
        <f>Herd_decision_tree!B12</f>
        <v>0.53470169817244906</v>
      </c>
    </row>
    <row r="9" spans="1:6" x14ac:dyDescent="0.25">
      <c r="A9" t="s">
        <v>107</v>
      </c>
      <c r="B9" t="s">
        <v>100</v>
      </c>
      <c r="C9" t="s">
        <v>101</v>
      </c>
      <c r="D9" t="str">
        <f t="shared" si="0"/>
        <v>female.finisher</v>
      </c>
      <c r="E9" t="s">
        <v>103</v>
      </c>
      <c r="F9">
        <f>F8</f>
        <v>0.53470169817244906</v>
      </c>
    </row>
    <row r="10" spans="1:6" x14ac:dyDescent="0.25">
      <c r="A10" t="s">
        <v>107</v>
      </c>
      <c r="B10" t="s">
        <v>100</v>
      </c>
      <c r="C10" t="s">
        <v>101</v>
      </c>
      <c r="D10" t="str">
        <f t="shared" si="0"/>
        <v>female.breeder</v>
      </c>
      <c r="E10" t="s">
        <v>103</v>
      </c>
      <c r="F10">
        <f>F9</f>
        <v>0.53470169817244906</v>
      </c>
    </row>
    <row r="11" spans="1:6" x14ac:dyDescent="0.25">
      <c r="A11" t="s">
        <v>107</v>
      </c>
      <c r="B11" t="s">
        <v>100</v>
      </c>
      <c r="C11" t="s">
        <v>106</v>
      </c>
      <c r="D11" t="str">
        <f t="shared" si="0"/>
        <v>male.finisher</v>
      </c>
      <c r="E11" t="s">
        <v>103</v>
      </c>
      <c r="F11" s="31">
        <f>Herd_decision_tree!C12</f>
        <v>0.52645405641498011</v>
      </c>
    </row>
    <row r="12" spans="1:6" x14ac:dyDescent="0.25">
      <c r="A12" t="s">
        <v>107</v>
      </c>
      <c r="B12" t="s">
        <v>100</v>
      </c>
      <c r="C12" t="s">
        <v>106</v>
      </c>
      <c r="D12" t="str">
        <f t="shared" si="0"/>
        <v>female.finisher</v>
      </c>
      <c r="E12" t="s">
        <v>103</v>
      </c>
      <c r="F12">
        <f>F11</f>
        <v>0.52645405641498011</v>
      </c>
    </row>
    <row r="13" spans="1:6" x14ac:dyDescent="0.25">
      <c r="A13" t="s">
        <v>107</v>
      </c>
      <c r="B13" t="s">
        <v>100</v>
      </c>
      <c r="C13" t="s">
        <v>106</v>
      </c>
      <c r="D13" t="str">
        <f t="shared" si="0"/>
        <v>female.breeder</v>
      </c>
      <c r="E13" t="s">
        <v>103</v>
      </c>
      <c r="F13">
        <f>F12</f>
        <v>0.52645405641498011</v>
      </c>
    </row>
    <row r="14" spans="1:6" x14ac:dyDescent="0.25">
      <c r="A14" t="s">
        <v>99</v>
      </c>
      <c r="B14" t="s">
        <v>108</v>
      </c>
      <c r="C14" t="s">
        <v>106</v>
      </c>
      <c r="D14" t="str">
        <f t="shared" si="0"/>
        <v>male.finisher</v>
      </c>
      <c r="E14" t="s">
        <v>103</v>
      </c>
      <c r="F14" s="31">
        <f>Herd_decision_tree!C15</f>
        <v>2.7942999657982757</v>
      </c>
    </row>
    <row r="15" spans="1:6" x14ac:dyDescent="0.25">
      <c r="A15" t="s">
        <v>99</v>
      </c>
      <c r="B15" t="s">
        <v>108</v>
      </c>
      <c r="C15" t="s">
        <v>106</v>
      </c>
      <c r="D15" t="str">
        <f t="shared" si="0"/>
        <v>female.finisher</v>
      </c>
      <c r="E15" t="s">
        <v>103</v>
      </c>
      <c r="F15">
        <f>F14</f>
        <v>2.7942999657982757</v>
      </c>
    </row>
    <row r="16" spans="1:6" x14ac:dyDescent="0.25">
      <c r="A16" t="s">
        <v>99</v>
      </c>
      <c r="B16" t="s">
        <v>108</v>
      </c>
      <c r="C16" t="s">
        <v>106</v>
      </c>
      <c r="D16" t="str">
        <f t="shared" si="0"/>
        <v>female.breeder</v>
      </c>
      <c r="E16" t="s">
        <v>103</v>
      </c>
      <c r="F16">
        <f>F15</f>
        <v>2.7942999657982757</v>
      </c>
    </row>
    <row r="17" spans="1:6" x14ac:dyDescent="0.25">
      <c r="A17" t="s">
        <v>99</v>
      </c>
      <c r="B17" t="s">
        <v>108</v>
      </c>
      <c r="C17" t="s">
        <v>109</v>
      </c>
      <c r="D17" t="str">
        <f t="shared" si="0"/>
        <v>male.finisher</v>
      </c>
      <c r="E17" t="s">
        <v>103</v>
      </c>
      <c r="F17" s="31">
        <f>Herd_decision_tree!D15</f>
        <v>2.3404055129394248</v>
      </c>
    </row>
    <row r="18" spans="1:6" x14ac:dyDescent="0.25">
      <c r="A18" t="s">
        <v>99</v>
      </c>
      <c r="B18" t="s">
        <v>108</v>
      </c>
      <c r="C18" t="s">
        <v>109</v>
      </c>
      <c r="D18" t="str">
        <f t="shared" si="0"/>
        <v>female.finisher</v>
      </c>
      <c r="E18" t="s">
        <v>103</v>
      </c>
      <c r="F18">
        <f>F17</f>
        <v>2.3404055129394248</v>
      </c>
    </row>
    <row r="19" spans="1:6" x14ac:dyDescent="0.25">
      <c r="A19" t="s">
        <v>99</v>
      </c>
      <c r="B19" t="s">
        <v>108</v>
      </c>
      <c r="C19" t="s">
        <v>109</v>
      </c>
      <c r="D19" t="str">
        <f t="shared" si="0"/>
        <v>female.breeder</v>
      </c>
      <c r="E19" t="s">
        <v>103</v>
      </c>
      <c r="F19">
        <f>F18</f>
        <v>2.3404055129394248</v>
      </c>
    </row>
    <row r="20" spans="1:6" x14ac:dyDescent="0.25">
      <c r="A20" t="s">
        <v>107</v>
      </c>
      <c r="B20" t="s">
        <v>108</v>
      </c>
      <c r="C20" t="s">
        <v>106</v>
      </c>
      <c r="D20" t="str">
        <f t="shared" si="0"/>
        <v>male.finisher</v>
      </c>
      <c r="E20" t="s">
        <v>103</v>
      </c>
      <c r="F20" s="31">
        <f>Herd_decision_tree!C16</f>
        <v>0.21032365333965519</v>
      </c>
    </row>
    <row r="21" spans="1:6" x14ac:dyDescent="0.25">
      <c r="A21" t="s">
        <v>107</v>
      </c>
      <c r="B21" t="s">
        <v>108</v>
      </c>
      <c r="C21" t="s">
        <v>106</v>
      </c>
      <c r="D21" t="str">
        <f t="shared" si="0"/>
        <v>female.finisher</v>
      </c>
      <c r="E21" t="s">
        <v>103</v>
      </c>
      <c r="F21">
        <f>F20</f>
        <v>0.21032365333965519</v>
      </c>
    </row>
    <row r="22" spans="1:6" x14ac:dyDescent="0.25">
      <c r="A22" t="s">
        <v>107</v>
      </c>
      <c r="B22" t="s">
        <v>108</v>
      </c>
      <c r="C22" t="s">
        <v>106</v>
      </c>
      <c r="D22" t="str">
        <f t="shared" si="0"/>
        <v>female.breeder</v>
      </c>
      <c r="E22" t="s">
        <v>103</v>
      </c>
      <c r="F22">
        <f>F21</f>
        <v>0.21032365333965519</v>
      </c>
    </row>
    <row r="23" spans="1:6" x14ac:dyDescent="0.25">
      <c r="A23" t="s">
        <v>107</v>
      </c>
      <c r="B23" t="s">
        <v>108</v>
      </c>
      <c r="C23" t="s">
        <v>109</v>
      </c>
      <c r="D23" t="str">
        <f t="shared" si="0"/>
        <v>male.finisher</v>
      </c>
      <c r="E23" t="s">
        <v>103</v>
      </c>
      <c r="F23" s="31">
        <f>Herd_decision_tree!D16</f>
        <v>0.17615955473737607</v>
      </c>
    </row>
    <row r="24" spans="1:6" x14ac:dyDescent="0.25">
      <c r="A24" t="s">
        <v>107</v>
      </c>
      <c r="B24" t="s">
        <v>108</v>
      </c>
      <c r="C24" t="s">
        <v>109</v>
      </c>
      <c r="D24" t="str">
        <f t="shared" si="0"/>
        <v>female.finisher</v>
      </c>
      <c r="E24" t="s">
        <v>103</v>
      </c>
      <c r="F24">
        <f>F23</f>
        <v>0.17615955473737607</v>
      </c>
    </row>
    <row r="25" spans="1:6" x14ac:dyDescent="0.25">
      <c r="A25" t="s">
        <v>107</v>
      </c>
      <c r="B25" t="s">
        <v>108</v>
      </c>
      <c r="C25" t="s">
        <v>109</v>
      </c>
      <c r="D25" t="str">
        <f t="shared" si="0"/>
        <v>female.breeder</v>
      </c>
      <c r="E25" t="s">
        <v>103</v>
      </c>
      <c r="F25">
        <f>F24</f>
        <v>0.17615955473737607</v>
      </c>
    </row>
    <row r="26" spans="1:6" x14ac:dyDescent="0.25">
      <c r="A26" t="s">
        <v>99</v>
      </c>
      <c r="B26" t="s">
        <v>110</v>
      </c>
      <c r="C26" t="s">
        <v>109</v>
      </c>
      <c r="D26" t="str">
        <f t="shared" si="0"/>
        <v>male.finisher</v>
      </c>
      <c r="E26" t="s">
        <v>103</v>
      </c>
      <c r="F26" s="31">
        <f>Herd_decision_tree!D19</f>
        <v>0.87379115225568027</v>
      </c>
    </row>
    <row r="27" spans="1:6" x14ac:dyDescent="0.25">
      <c r="A27" t="s">
        <v>99</v>
      </c>
      <c r="B27" t="s">
        <v>110</v>
      </c>
      <c r="C27" t="s">
        <v>109</v>
      </c>
      <c r="D27" t="str">
        <f t="shared" si="0"/>
        <v>female.finisher</v>
      </c>
      <c r="E27" t="s">
        <v>103</v>
      </c>
      <c r="F27">
        <f>F26</f>
        <v>0.87379115225568027</v>
      </c>
    </row>
    <row r="28" spans="1:6" x14ac:dyDescent="0.25">
      <c r="A28" t="s">
        <v>99</v>
      </c>
      <c r="B28" t="s">
        <v>110</v>
      </c>
      <c r="C28" t="s">
        <v>109</v>
      </c>
      <c r="D28" t="str">
        <f t="shared" si="0"/>
        <v>female.breeder</v>
      </c>
      <c r="E28" t="s">
        <v>103</v>
      </c>
      <c r="F28">
        <f>F27</f>
        <v>0.87379115225568027</v>
      </c>
    </row>
    <row r="29" spans="1:6" x14ac:dyDescent="0.25">
      <c r="A29" t="s">
        <v>107</v>
      </c>
      <c r="B29" t="s">
        <v>110</v>
      </c>
      <c r="C29" t="s">
        <v>109</v>
      </c>
      <c r="D29" t="str">
        <f t="shared" si="0"/>
        <v>male.finisher</v>
      </c>
      <c r="E29" t="s">
        <v>103</v>
      </c>
      <c r="F29" s="31">
        <f>Herd_decision_tree!D20</f>
        <v>7.5981839326580897E-2</v>
      </c>
    </row>
    <row r="30" spans="1:6" x14ac:dyDescent="0.25">
      <c r="A30" t="s">
        <v>107</v>
      </c>
      <c r="B30" t="s">
        <v>110</v>
      </c>
      <c r="C30" t="s">
        <v>109</v>
      </c>
      <c r="D30" t="str">
        <f t="shared" si="0"/>
        <v>female.finisher</v>
      </c>
      <c r="E30" t="s">
        <v>103</v>
      </c>
      <c r="F30">
        <f>F29</f>
        <v>7.5981839326580897E-2</v>
      </c>
    </row>
    <row r="31" spans="1:6" x14ac:dyDescent="0.25">
      <c r="A31" t="s">
        <v>107</v>
      </c>
      <c r="B31" t="s">
        <v>110</v>
      </c>
      <c r="C31" t="s">
        <v>109</v>
      </c>
      <c r="D31" t="str">
        <f t="shared" si="0"/>
        <v>female.breeder</v>
      </c>
      <c r="E31" t="s">
        <v>103</v>
      </c>
      <c r="F31">
        <f>F30</f>
        <v>7.5981839326580897E-2</v>
      </c>
    </row>
    <row r="32" spans="1:6" x14ac:dyDescent="0.25">
      <c r="A32" t="s">
        <v>107</v>
      </c>
      <c r="B32" t="s">
        <v>111</v>
      </c>
      <c r="C32" t="s">
        <v>101</v>
      </c>
      <c r="D32" t="str">
        <f t="shared" si="0"/>
        <v>male.finisher</v>
      </c>
      <c r="E32" t="s">
        <v>103</v>
      </c>
      <c r="F32" s="31">
        <f>Herd_decision_tree!B30</f>
        <v>4.3747985031344916E-2</v>
      </c>
    </row>
    <row r="33" spans="1:6" x14ac:dyDescent="0.25">
      <c r="A33" t="s">
        <v>107</v>
      </c>
      <c r="B33" t="s">
        <v>111</v>
      </c>
      <c r="C33" t="s">
        <v>101</v>
      </c>
      <c r="D33" t="str">
        <f t="shared" si="0"/>
        <v>female.finisher</v>
      </c>
      <c r="E33" t="s">
        <v>103</v>
      </c>
      <c r="F33">
        <f>F32</f>
        <v>4.3747985031344916E-2</v>
      </c>
    </row>
    <row r="34" spans="1:6" x14ac:dyDescent="0.25">
      <c r="A34" t="s">
        <v>107</v>
      </c>
      <c r="B34" t="s">
        <v>111</v>
      </c>
      <c r="C34" t="s">
        <v>101</v>
      </c>
      <c r="D34" t="str">
        <f t="shared" si="0"/>
        <v>female.breeder</v>
      </c>
      <c r="E34" t="s">
        <v>103</v>
      </c>
      <c r="F34">
        <f>F33</f>
        <v>4.3747985031344916E-2</v>
      </c>
    </row>
    <row r="35" spans="1:6" x14ac:dyDescent="0.25">
      <c r="A35" t="s">
        <v>107</v>
      </c>
      <c r="B35" t="s">
        <v>111</v>
      </c>
      <c r="C35" t="s">
        <v>106</v>
      </c>
      <c r="D35" t="str">
        <f t="shared" si="0"/>
        <v>male.finisher</v>
      </c>
      <c r="E35" t="s">
        <v>103</v>
      </c>
      <c r="F35" s="31">
        <f>Herd_decision_tree!C30</f>
        <v>0.20218971798848084</v>
      </c>
    </row>
    <row r="36" spans="1:6" x14ac:dyDescent="0.25">
      <c r="A36" t="s">
        <v>107</v>
      </c>
      <c r="B36" t="s">
        <v>111</v>
      </c>
      <c r="C36" t="s">
        <v>106</v>
      </c>
      <c r="D36" t="str">
        <f t="shared" si="0"/>
        <v>female.finisher</v>
      </c>
      <c r="E36" t="s">
        <v>103</v>
      </c>
      <c r="F36">
        <f>F35</f>
        <v>0.20218971798848084</v>
      </c>
    </row>
    <row r="37" spans="1:6" x14ac:dyDescent="0.25">
      <c r="A37" t="s">
        <v>107</v>
      </c>
      <c r="B37" t="s">
        <v>111</v>
      </c>
      <c r="C37" t="s">
        <v>106</v>
      </c>
      <c r="D37" t="str">
        <f t="shared" si="0"/>
        <v>female.breeder</v>
      </c>
      <c r="E37" t="s">
        <v>103</v>
      </c>
      <c r="F37">
        <f>F36</f>
        <v>0.20218971798848084</v>
      </c>
    </row>
    <row r="38" spans="1:6" x14ac:dyDescent="0.25">
      <c r="A38" t="s">
        <v>107</v>
      </c>
      <c r="B38" t="s">
        <v>111</v>
      </c>
      <c r="C38" t="s">
        <v>109</v>
      </c>
      <c r="D38" t="str">
        <f t="shared" si="0"/>
        <v>male.finisher</v>
      </c>
      <c r="E38" t="s">
        <v>103</v>
      </c>
      <c r="F38" s="31">
        <f>Herd_decision_tree!D30</f>
        <v>0.32783648478393373</v>
      </c>
    </row>
    <row r="39" spans="1:6" x14ac:dyDescent="0.25">
      <c r="A39" t="s">
        <v>107</v>
      </c>
      <c r="B39" t="s">
        <v>111</v>
      </c>
      <c r="C39" t="s">
        <v>109</v>
      </c>
      <c r="D39" t="str">
        <f t="shared" si="0"/>
        <v>female.finisher</v>
      </c>
      <c r="E39" t="s">
        <v>103</v>
      </c>
      <c r="F39">
        <f>F38</f>
        <v>0.32783648478393373</v>
      </c>
    </row>
    <row r="40" spans="1:6" x14ac:dyDescent="0.25">
      <c r="A40" t="s">
        <v>107</v>
      </c>
      <c r="B40" t="s">
        <v>111</v>
      </c>
      <c r="C40" t="s">
        <v>109</v>
      </c>
      <c r="D40" t="str">
        <f t="shared" si="0"/>
        <v>female.breeder</v>
      </c>
      <c r="E40" t="s">
        <v>103</v>
      </c>
      <c r="F40">
        <f>F39</f>
        <v>0.32783648478393373</v>
      </c>
    </row>
    <row r="41" spans="1:6" x14ac:dyDescent="0.25">
      <c r="A41" t="s">
        <v>112</v>
      </c>
      <c r="B41" t="s">
        <v>111</v>
      </c>
      <c r="C41" t="s">
        <v>101</v>
      </c>
      <c r="D41" t="str">
        <f t="shared" si="0"/>
        <v>male.finisher</v>
      </c>
      <c r="E41" t="s">
        <v>103</v>
      </c>
      <c r="F41" s="31">
        <f>Herd_decision_tree!B31</f>
        <v>2.0587287073574073E-2</v>
      </c>
    </row>
    <row r="42" spans="1:6" x14ac:dyDescent="0.25">
      <c r="A42" t="s">
        <v>112</v>
      </c>
      <c r="B42" t="s">
        <v>111</v>
      </c>
      <c r="C42" t="s">
        <v>101</v>
      </c>
      <c r="D42" t="str">
        <f t="shared" si="0"/>
        <v>female.finisher</v>
      </c>
      <c r="E42" t="s">
        <v>103</v>
      </c>
      <c r="F42">
        <f>F41</f>
        <v>2.0587287073574073E-2</v>
      </c>
    </row>
    <row r="43" spans="1:6" x14ac:dyDescent="0.25">
      <c r="A43" t="s">
        <v>112</v>
      </c>
      <c r="B43" t="s">
        <v>111</v>
      </c>
      <c r="C43" t="s">
        <v>101</v>
      </c>
      <c r="D43" t="str">
        <f t="shared" si="0"/>
        <v>female.breeder</v>
      </c>
      <c r="E43" t="s">
        <v>103</v>
      </c>
      <c r="F43">
        <f>F42</f>
        <v>2.0587287073574073E-2</v>
      </c>
    </row>
    <row r="44" spans="1:6" x14ac:dyDescent="0.25">
      <c r="A44" t="s">
        <v>112</v>
      </c>
      <c r="B44" t="s">
        <v>111</v>
      </c>
      <c r="C44" t="s">
        <v>106</v>
      </c>
      <c r="D44" t="str">
        <f t="shared" si="0"/>
        <v>male.finisher</v>
      </c>
      <c r="E44" t="s">
        <v>103</v>
      </c>
      <c r="F44" s="31">
        <f>Herd_decision_tree!C31</f>
        <v>9.5148102582814489E-2</v>
      </c>
    </row>
    <row r="45" spans="1:6" x14ac:dyDescent="0.25">
      <c r="A45" t="s">
        <v>112</v>
      </c>
      <c r="B45" t="s">
        <v>111</v>
      </c>
      <c r="C45" t="s">
        <v>106</v>
      </c>
      <c r="D45" t="str">
        <f t="shared" si="0"/>
        <v>female.finisher</v>
      </c>
      <c r="E45" t="s">
        <v>103</v>
      </c>
      <c r="F45">
        <f>F44</f>
        <v>9.5148102582814489E-2</v>
      </c>
    </row>
    <row r="46" spans="1:6" x14ac:dyDescent="0.25">
      <c r="A46" t="s">
        <v>112</v>
      </c>
      <c r="B46" t="s">
        <v>111</v>
      </c>
      <c r="C46" t="s">
        <v>106</v>
      </c>
      <c r="D46" t="str">
        <f t="shared" si="0"/>
        <v>female.breeder</v>
      </c>
      <c r="E46" t="s">
        <v>103</v>
      </c>
      <c r="F46">
        <f>F45</f>
        <v>9.5148102582814489E-2</v>
      </c>
    </row>
    <row r="47" spans="1:6" x14ac:dyDescent="0.25">
      <c r="A47" t="s">
        <v>112</v>
      </c>
      <c r="B47" t="s">
        <v>111</v>
      </c>
      <c r="C47" t="s">
        <v>109</v>
      </c>
      <c r="D47" t="str">
        <f t="shared" si="0"/>
        <v>male.finisher</v>
      </c>
      <c r="E47" t="s">
        <v>103</v>
      </c>
      <c r="F47" s="31">
        <f>Herd_decision_tree!D31</f>
        <v>0.15427599283949819</v>
      </c>
    </row>
    <row r="48" spans="1:6" x14ac:dyDescent="0.25">
      <c r="A48" t="s">
        <v>112</v>
      </c>
      <c r="B48" t="s">
        <v>111</v>
      </c>
      <c r="C48" t="s">
        <v>109</v>
      </c>
      <c r="D48" t="str">
        <f t="shared" si="0"/>
        <v>female.finisher</v>
      </c>
      <c r="E48" t="s">
        <v>103</v>
      </c>
      <c r="F48">
        <f>F47</f>
        <v>0.15427599283949819</v>
      </c>
    </row>
    <row r="49" spans="1:6" x14ac:dyDescent="0.25">
      <c r="A49" t="s">
        <v>112</v>
      </c>
      <c r="B49" t="s">
        <v>111</v>
      </c>
      <c r="C49" t="s">
        <v>109</v>
      </c>
      <c r="D49" t="str">
        <f t="shared" si="0"/>
        <v>female.breeder</v>
      </c>
      <c r="E49" t="s">
        <v>103</v>
      </c>
      <c r="F49">
        <f>F48</f>
        <v>0.15427599283949819</v>
      </c>
    </row>
    <row r="50" spans="1:6" x14ac:dyDescent="0.25">
      <c r="A50" t="s">
        <v>107</v>
      </c>
      <c r="B50" t="s">
        <v>113</v>
      </c>
      <c r="C50" t="s">
        <v>101</v>
      </c>
      <c r="D50" t="str">
        <f t="shared" si="0"/>
        <v>male.finisher</v>
      </c>
      <c r="E50" t="s">
        <v>103</v>
      </c>
      <c r="F50" s="31">
        <f>Herd_decision_tree!B26</f>
        <v>0.13941579201395757</v>
      </c>
    </row>
    <row r="51" spans="1:6" x14ac:dyDescent="0.25">
      <c r="A51" t="s">
        <v>107</v>
      </c>
      <c r="B51" t="s">
        <v>113</v>
      </c>
      <c r="C51" t="s">
        <v>101</v>
      </c>
      <c r="D51" t="str">
        <f t="shared" si="0"/>
        <v>female.finisher</v>
      </c>
      <c r="E51" t="s">
        <v>103</v>
      </c>
      <c r="F51">
        <f>F50</f>
        <v>0.13941579201395757</v>
      </c>
    </row>
    <row r="52" spans="1:6" x14ac:dyDescent="0.25">
      <c r="A52" t="s">
        <v>107</v>
      </c>
      <c r="B52" t="s">
        <v>113</v>
      </c>
      <c r="C52" t="s">
        <v>101</v>
      </c>
      <c r="D52" t="str">
        <f t="shared" si="0"/>
        <v>female.breeder</v>
      </c>
      <c r="E52" t="s">
        <v>103</v>
      </c>
      <c r="F52">
        <f>F51</f>
        <v>0.13941579201395757</v>
      </c>
    </row>
    <row r="53" spans="1:6" x14ac:dyDescent="0.25">
      <c r="A53" t="s">
        <v>107</v>
      </c>
      <c r="B53" t="s">
        <v>113</v>
      </c>
      <c r="C53" t="s">
        <v>106</v>
      </c>
      <c r="D53" t="str">
        <f t="shared" si="0"/>
        <v>male.finisher</v>
      </c>
      <c r="E53" t="s">
        <v>103</v>
      </c>
      <c r="F53" s="31">
        <f>Herd_decision_tree!C26</f>
        <v>0.18581035450121144</v>
      </c>
    </row>
    <row r="54" spans="1:6" x14ac:dyDescent="0.25">
      <c r="A54" t="s">
        <v>107</v>
      </c>
      <c r="B54" t="s">
        <v>113</v>
      </c>
      <c r="C54" t="s">
        <v>106</v>
      </c>
      <c r="D54" t="str">
        <f t="shared" si="0"/>
        <v>female.finisher</v>
      </c>
      <c r="E54" t="s">
        <v>103</v>
      </c>
      <c r="F54">
        <f>F53</f>
        <v>0.18581035450121144</v>
      </c>
    </row>
    <row r="55" spans="1:6" x14ac:dyDescent="0.25">
      <c r="A55" t="s">
        <v>107</v>
      </c>
      <c r="B55" t="s">
        <v>113</v>
      </c>
      <c r="C55" t="s">
        <v>106</v>
      </c>
      <c r="D55" t="str">
        <f t="shared" si="0"/>
        <v>female.breeder</v>
      </c>
      <c r="E55" t="s">
        <v>103</v>
      </c>
      <c r="F55">
        <f>F54</f>
        <v>0.18581035450121144</v>
      </c>
    </row>
    <row r="56" spans="1:6" x14ac:dyDescent="0.25">
      <c r="A56" t="s">
        <v>107</v>
      </c>
      <c r="B56" t="s">
        <v>113</v>
      </c>
      <c r="C56" t="s">
        <v>109</v>
      </c>
      <c r="D56" t="str">
        <f t="shared" si="0"/>
        <v>male.finisher</v>
      </c>
      <c r="E56" t="s">
        <v>103</v>
      </c>
      <c r="F56" s="31">
        <f>Herd_decision_tree!D26</f>
        <v>0.16137642239357275</v>
      </c>
    </row>
    <row r="57" spans="1:6" x14ac:dyDescent="0.25">
      <c r="A57" t="s">
        <v>107</v>
      </c>
      <c r="B57" t="s">
        <v>113</v>
      </c>
      <c r="C57" t="s">
        <v>109</v>
      </c>
      <c r="D57" t="str">
        <f t="shared" si="0"/>
        <v>female.finisher</v>
      </c>
      <c r="E57" t="s">
        <v>103</v>
      </c>
      <c r="F57">
        <f>F56</f>
        <v>0.16137642239357275</v>
      </c>
    </row>
    <row r="58" spans="1:6" x14ac:dyDescent="0.25">
      <c r="A58" t="s">
        <v>107</v>
      </c>
      <c r="B58" t="s">
        <v>113</v>
      </c>
      <c r="C58" t="s">
        <v>109</v>
      </c>
      <c r="D58" t="str">
        <f t="shared" si="0"/>
        <v>female.breeder</v>
      </c>
      <c r="E58" t="s">
        <v>103</v>
      </c>
      <c r="F58">
        <f>F57</f>
        <v>0.16137642239357275</v>
      </c>
    </row>
    <row r="59" spans="1:6" x14ac:dyDescent="0.25">
      <c r="A59" t="s">
        <v>112</v>
      </c>
      <c r="B59" t="s">
        <v>113</v>
      </c>
      <c r="C59" t="s">
        <v>101</v>
      </c>
      <c r="D59" t="str">
        <f t="shared" si="0"/>
        <v>male.finisher</v>
      </c>
      <c r="E59" t="s">
        <v>103</v>
      </c>
      <c r="F59" s="31">
        <f>Herd_decision_tree!B27</f>
        <v>6.5607431535980018E-2</v>
      </c>
    </row>
    <row r="60" spans="1:6" x14ac:dyDescent="0.25">
      <c r="A60" t="s">
        <v>112</v>
      </c>
      <c r="B60" t="s">
        <v>113</v>
      </c>
      <c r="C60" t="s">
        <v>101</v>
      </c>
      <c r="D60" t="str">
        <f t="shared" si="0"/>
        <v>female.finisher</v>
      </c>
      <c r="E60" t="s">
        <v>103</v>
      </c>
      <c r="F60">
        <f>F59</f>
        <v>6.5607431535980018E-2</v>
      </c>
    </row>
    <row r="61" spans="1:6" x14ac:dyDescent="0.25">
      <c r="A61" t="s">
        <v>112</v>
      </c>
      <c r="B61" t="s">
        <v>113</v>
      </c>
      <c r="C61" t="s">
        <v>101</v>
      </c>
      <c r="D61" t="str">
        <f t="shared" si="0"/>
        <v>female.breeder</v>
      </c>
      <c r="E61" t="s">
        <v>103</v>
      </c>
      <c r="F61">
        <f>F60</f>
        <v>6.5607431535980018E-2</v>
      </c>
    </row>
    <row r="62" spans="1:6" x14ac:dyDescent="0.25">
      <c r="A62" t="s">
        <v>112</v>
      </c>
      <c r="B62" t="s">
        <v>113</v>
      </c>
      <c r="C62" t="s">
        <v>106</v>
      </c>
      <c r="D62" t="str">
        <f t="shared" si="0"/>
        <v>male.finisher</v>
      </c>
      <c r="E62" t="s">
        <v>103</v>
      </c>
      <c r="F62" s="31">
        <f>Herd_decision_tree!C27</f>
        <v>8.7440166824099483E-2</v>
      </c>
    </row>
    <row r="63" spans="1:6" x14ac:dyDescent="0.25">
      <c r="A63" t="s">
        <v>112</v>
      </c>
      <c r="B63" t="s">
        <v>113</v>
      </c>
      <c r="C63" t="s">
        <v>106</v>
      </c>
      <c r="D63" t="str">
        <f t="shared" si="0"/>
        <v>female.finisher</v>
      </c>
      <c r="E63" t="s">
        <v>103</v>
      </c>
      <c r="F63">
        <f>F62</f>
        <v>8.7440166824099483E-2</v>
      </c>
    </row>
    <row r="64" spans="1:6" x14ac:dyDescent="0.25">
      <c r="A64" t="s">
        <v>112</v>
      </c>
      <c r="B64" t="s">
        <v>113</v>
      </c>
      <c r="C64" t="s">
        <v>106</v>
      </c>
      <c r="D64" t="str">
        <f t="shared" si="0"/>
        <v>female.breeder</v>
      </c>
      <c r="E64" t="s">
        <v>103</v>
      </c>
      <c r="F64">
        <f>F63</f>
        <v>8.7440166824099483E-2</v>
      </c>
    </row>
    <row r="65" spans="1:6" x14ac:dyDescent="0.25">
      <c r="A65" t="s">
        <v>112</v>
      </c>
      <c r="B65" t="s">
        <v>113</v>
      </c>
      <c r="C65" t="s">
        <v>109</v>
      </c>
      <c r="D65" t="str">
        <f t="shared" si="0"/>
        <v>male.finisher</v>
      </c>
      <c r="E65" t="s">
        <v>103</v>
      </c>
      <c r="F65" s="31">
        <f>Herd_decision_tree!D27</f>
        <v>7.5941845832269511E-2</v>
      </c>
    </row>
    <row r="66" spans="1:6" x14ac:dyDescent="0.25">
      <c r="A66" t="s">
        <v>112</v>
      </c>
      <c r="B66" t="s">
        <v>113</v>
      </c>
      <c r="C66" t="s">
        <v>109</v>
      </c>
      <c r="D66" t="str">
        <f t="shared" si="0"/>
        <v>female.finisher</v>
      </c>
      <c r="E66" t="s">
        <v>103</v>
      </c>
      <c r="F66">
        <f>F65</f>
        <v>7.5941845832269511E-2</v>
      </c>
    </row>
    <row r="67" spans="1:6" x14ac:dyDescent="0.25">
      <c r="A67" t="s">
        <v>112</v>
      </c>
      <c r="B67" t="s">
        <v>113</v>
      </c>
      <c r="C67" t="s">
        <v>109</v>
      </c>
      <c r="D67" t="str">
        <f t="shared" si="0"/>
        <v>female.breeder</v>
      </c>
      <c r="E67" t="s">
        <v>103</v>
      </c>
      <c r="F67">
        <f>F66</f>
        <v>7.5941845832269511E-2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Validate_2020</vt:lpstr>
      <vt:lpstr>Herd_decision_tree</vt:lpstr>
      <vt:lpstr>Projections</vt:lpstr>
      <vt:lpstr>ZS_Summary</vt:lpstr>
      <vt:lpstr>NPP</vt:lpstr>
      <vt:lpstr>Carrying_Capacity</vt:lpstr>
      <vt:lpstr>Beef_population_to_GIS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Hawkins</dc:creator>
  <cp:lastModifiedBy>Hawkins, James (ILRI)</cp:lastModifiedBy>
  <dcterms:created xsi:type="dcterms:W3CDTF">2026-06-13T04:30:46Z</dcterms:created>
  <dcterms:modified xsi:type="dcterms:W3CDTF">2026-07-03T10:03:50Z</dcterms:modified>
</cp:coreProperties>
</file>