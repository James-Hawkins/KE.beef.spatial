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0EDDB6ED-CCE9-4C62-8457-46535436E35A}" xr6:coauthVersionLast="47" xr6:coauthVersionMax="47" xr10:uidLastSave="{00000000-0000-0000-0000-000000000000}"/>
  <bookViews>
    <workbookView xWindow="-120" yWindow="-120" windowWidth="21840" windowHeight="13020" activeTab="1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2" i="4" l="1"/>
  <c r="E41" i="4"/>
  <c r="D8" i="6"/>
  <c r="D12" i="4"/>
  <c r="B5" i="6"/>
  <c r="D16" i="4"/>
  <c r="C12" i="4"/>
  <c r="B27" i="4"/>
  <c r="E27" i="4"/>
  <c r="C27" i="4"/>
  <c r="D27" i="4"/>
  <c r="D28" i="4"/>
  <c r="D17" i="4"/>
  <c r="D6" i="6"/>
  <c r="D7" i="6"/>
  <c r="C7" i="6"/>
  <c r="B7" i="6"/>
  <c r="C6" i="6"/>
  <c r="B6" i="6"/>
  <c r="C5" i="6"/>
  <c r="D3" i="6"/>
  <c r="C4" i="6"/>
  <c r="B4" i="6"/>
  <c r="C3" i="6"/>
  <c r="B3" i="6"/>
  <c r="G25" i="4"/>
  <c r="G27" i="4"/>
  <c r="E24" i="4"/>
  <c r="C6" i="3"/>
  <c r="C5" i="3"/>
  <c r="C4" i="3"/>
  <c r="C3" i="3"/>
  <c r="C2" i="3"/>
  <c r="D5" i="6" l="1"/>
  <c r="D4" i="6"/>
  <c r="I6" i="4" l="1"/>
  <c r="I5" i="4"/>
  <c r="I7" i="4"/>
  <c r="D7" i="2"/>
  <c r="B23" i="4"/>
  <c r="B28" i="4" s="1"/>
  <c r="I11" i="4"/>
  <c r="I10" i="4"/>
  <c r="I9" i="4"/>
  <c r="C3" i="4"/>
  <c r="B3" i="4"/>
  <c r="D2" i="4"/>
  <c r="D4" i="4" s="1"/>
  <c r="C2" i="4"/>
  <c r="C4" i="4" s="1"/>
  <c r="B2" i="4"/>
  <c r="E3" i="2" l="1"/>
  <c r="F3" i="2" s="1"/>
  <c r="E2" i="2"/>
  <c r="F2" i="2" s="1"/>
  <c r="E6" i="2"/>
  <c r="F6" i="2" s="1"/>
  <c r="E5" i="2"/>
  <c r="F5" i="2" s="1"/>
  <c r="E4" i="2"/>
  <c r="F4" i="2" s="1"/>
  <c r="C13" i="4"/>
  <c r="C8" i="4"/>
  <c r="B8" i="4"/>
  <c r="E12" i="4"/>
  <c r="B3" i="2" s="1"/>
  <c r="E3" i="4"/>
  <c r="B4" i="4"/>
  <c r="E2" i="4"/>
  <c r="E17" i="4"/>
  <c r="E16" i="4"/>
  <c r="B4" i="2" s="1"/>
  <c r="D18" i="4"/>
  <c r="E18" i="4" s="1"/>
  <c r="D13" i="4"/>
  <c r="D14" i="4"/>
  <c r="D36" i="4" s="1"/>
  <c r="D23" i="4"/>
  <c r="C23" i="4"/>
  <c r="C14" i="4" l="1"/>
  <c r="E14" i="4" s="1"/>
  <c r="C10" i="4"/>
  <c r="C9" i="4"/>
  <c r="C35" i="4" s="1"/>
  <c r="B10" i="4"/>
  <c r="E8" i="4"/>
  <c r="B9" i="4"/>
  <c r="E4" i="4"/>
  <c r="D21" i="4"/>
  <c r="D35" i="4"/>
  <c r="E13" i="4"/>
  <c r="D24" i="4"/>
  <c r="D25" i="4"/>
  <c r="D29" i="4"/>
  <c r="C24" i="4"/>
  <c r="C37" i="4" s="1"/>
  <c r="C25" i="4"/>
  <c r="C28" i="4"/>
  <c r="C29" i="4"/>
  <c r="B29" i="4"/>
  <c r="E23" i="4"/>
  <c r="B6" i="2" s="1"/>
  <c r="B24" i="4"/>
  <c r="B37" i="4" s="1"/>
  <c r="B25" i="4"/>
  <c r="B5" i="2" l="1"/>
  <c r="D31" i="4"/>
  <c r="D37" i="4"/>
  <c r="E37" i="4" s="1"/>
  <c r="C21" i="4"/>
  <c r="C36" i="4"/>
  <c r="B2" i="2"/>
  <c r="B21" i="4"/>
  <c r="E10" i="4"/>
  <c r="B36" i="4"/>
  <c r="E36" i="4" s="1"/>
  <c r="E9" i="4"/>
  <c r="B35" i="4"/>
  <c r="E35" i="4" s="1"/>
  <c r="C38" i="4"/>
  <c r="E29" i="4"/>
  <c r="B38" i="4"/>
  <c r="E25" i="4"/>
  <c r="D38" i="4"/>
  <c r="E28" i="4"/>
  <c r="G28" i="4" s="1"/>
  <c r="C31" i="4"/>
  <c r="B31" i="4"/>
  <c r="B7" i="2" l="1"/>
  <c r="C39" i="4"/>
  <c r="E21" i="4"/>
  <c r="D39" i="4"/>
  <c r="E31" i="4"/>
  <c r="B39" i="4"/>
  <c r="E38" i="4"/>
  <c r="E39" i="4" l="1"/>
  <c r="C5" i="2"/>
  <c r="H5" i="2" s="1"/>
  <c r="C6" i="2"/>
  <c r="H6" i="2" s="1"/>
  <c r="C3" i="2"/>
  <c r="H3" i="2" s="1"/>
  <c r="C2" i="2"/>
  <c r="H2" i="2" s="1"/>
  <c r="C4" i="2"/>
  <c r="H4" i="2" s="1"/>
  <c r="E7" i="6" l="1"/>
  <c r="E5" i="6"/>
  <c r="E4" i="6"/>
  <c r="G24" i="4"/>
  <c r="E3" i="6"/>
  <c r="E6" i="6"/>
  <c r="B4" i="3"/>
  <c r="D4" i="3" s="1"/>
  <c r="E4" i="3" s="1"/>
  <c r="B3" i="3"/>
  <c r="D3" i="3" s="1"/>
  <c r="E3" i="3" s="1"/>
  <c r="B2" i="3"/>
  <c r="B6" i="3"/>
  <c r="D6" i="3" s="1"/>
  <c r="E6" i="3" s="1"/>
  <c r="B5" i="3"/>
  <c r="D5" i="3" s="1"/>
  <c r="E5" i="3" s="1"/>
  <c r="H7" i="2"/>
  <c r="F36" i="4"/>
  <c r="F37" i="4"/>
  <c r="F35" i="4"/>
  <c r="F38" i="4"/>
  <c r="D2" i="3" l="1"/>
  <c r="E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34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<sst xmlns="http://schemas.openxmlformats.org/spreadsheetml/2006/main" count="81" uniqueCount="60">
  <si>
    <t>Comm</t>
  </si>
  <si>
    <t>Subs</t>
  </si>
  <si>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</si>
  <si>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</si>
  <si>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</si>
  <si>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</si>
  <si>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</si>
  <si>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</si>
  <si>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</si>
  <si>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</si>
  <si>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</si>
  <si>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</si>
  <si>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</si>
  <si>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</si>
  <si>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</si>
  <si>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</si>
  <si>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</si>
  <si>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</si>
  <si>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</si>
  <si>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</si>
  <si>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</si>
  <si>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</si>
  <si>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</si>
  <si>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</si>
  <si>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</si>
  <si>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</si>
  <si>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</si>
  <si>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</si>
  <si>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</si>
  <si>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</si>
  <si>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</si>
  <si>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</si>
  <si>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</si>
  <si>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</si>
  <si>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</si>
  <si>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</si>
  <si>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</si>
  <si>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</si>
  <si>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</si>
  <si>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</si>
  <si>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</si>
  <si>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</si>
  <si>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</si>
  <si>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pastoral to agpastoral - semiarid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</si>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</sst>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9" formatCode="0.00000000"/>
    <numFmt numFmtId="170" formatCode="0.0000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9" fontId="0" fillId="0" borderId="0" xfId="0" applyNumberFormat="1"/>
    <xf numFmtId="170" fontId="0" fillId="0" borderId="0" xfId="0" applyNumberFormat="1" applyAlignment="1">
      <alignment horizontal="center"/>
    </xf>
    <xf numFmtId="170" fontId="0" fillId="0" borderId="0" xfId="0" applyNumberFormat="1"/>
    <xf numFmtId="170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10" Type="http://schemas.openxmlformats.org/officeDocument/2006/relationships/externalLink" Target="externalLinks/externalLink6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G35">
            <v>0.27042835936947801</v>
          </cell>
        </row>
        <row r="36">
          <cell r="G36">
            <v>2.535976312755476</v>
          </cell>
        </row>
        <row r="37">
          <cell r="G37">
            <v>112.96352583586625</v>
          </cell>
        </row>
        <row r="38">
          <cell r="G38">
            <v>1.7484802431610944</v>
          </cell>
        </row>
        <row r="39">
          <cell r="G39">
            <v>9.3750034539928144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 refreshError="1">
        <row r="2">
          <cell r="K2">
            <v>7912803.5780913802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4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7"/>
  <sheetViews>
    <sheetView workbookViewId="0">
      <selection activeCell="B6" sqref="B6"/>
    </sheetView>
  </sheetViews>
  <sheetFormatPr defaultRowHeight="15" x14ac:dyDescent="0.25"/>
  <sheetData>
    <row r="1" spans="1:8" x14ac:dyDescent="0.25">
      <c r="B1" t="s">
        <v>5</v>
      </c>
      <c r="C1" s="6" t="s">
        <v>46</v>
      </c>
      <c r="D1" t="s">
        <v>53</v>
      </c>
      <c r="E1" t="s">
        <v>55</v>
      </c>
      <c r="F1" s="6" t="s">
        <v>56</v>
      </c>
      <c r="G1" t="s">
        <v>54</v>
      </c>
      <c r="H1" t="s">
        <v>47</v>
      </c>
    </row>
    <row r="2" spans="1:8" x14ac:dyDescent="0.25">
      <c r="A2" t="s">
        <v>15</v>
      </c>
      <c r="B2">
        <f>Herd_decision_tree!E8</f>
        <v>7.837059449452795</v>
      </c>
      <c r="C2" s="6">
        <f>B2/$B$7</f>
        <v>0.61071857623800974</v>
      </c>
      <c r="D2">
        <v>0.43</v>
      </c>
      <c r="E2">
        <f>D2/D$7</f>
        <v>0.54292929292929293</v>
      </c>
      <c r="F2" s="6">
        <f>E2-5*G2*E2*0.96/100</f>
        <v>0.53588176598814896</v>
      </c>
      <c r="G2">
        <v>0.27042835936947801</v>
      </c>
      <c r="H2">
        <f>ABS(F2-C2)</f>
        <v>7.4836810249860775E-2</v>
      </c>
    </row>
    <row r="3" spans="1:8" x14ac:dyDescent="0.25">
      <c r="A3" t="s">
        <v>18</v>
      </c>
      <c r="B3">
        <f>Herd_decision_tree!E12</f>
        <v>3.435592315937023</v>
      </c>
      <c r="C3" s="6">
        <f t="shared" ref="C3:C6" si="0">B3/$B$7</f>
        <v>0.26772542192082077</v>
      </c>
      <c r="D3">
        <v>0.28999999999999998</v>
      </c>
      <c r="E3">
        <f t="shared" ref="E3:E6" si="1">D3/D$7</f>
        <v>0.36616161616161613</v>
      </c>
      <c r="F3" s="6">
        <f t="shared" ref="F3:F6" si="2">E3-5*G3*E3*0.95/100</f>
        <v>0.32205419986337536</v>
      </c>
      <c r="G3">
        <v>2.535976312755476</v>
      </c>
      <c r="H3">
        <f t="shared" ref="H3:H6" si="3">ABS(F3-C3)</f>
        <v>5.4328777942554585E-2</v>
      </c>
    </row>
    <row r="4" spans="1:8" x14ac:dyDescent="0.25">
      <c r="A4" t="s">
        <v>13</v>
      </c>
      <c r="B4">
        <f>Herd_decision_tree!E16</f>
        <v>0.28169169773459884</v>
      </c>
      <c r="C4" s="6">
        <f t="shared" si="0"/>
        <v>2.1951390529588735E-2</v>
      </c>
      <c r="D4">
        <v>0.03</v>
      </c>
      <c r="E4">
        <f t="shared" si="1"/>
        <v>3.7878787878787873E-2</v>
      </c>
      <c r="F4" s="6">
        <f t="shared" si="2"/>
        <v>2.1010883936944742E-2</v>
      </c>
      <c r="G4">
        <v>9.3750034539928144</v>
      </c>
      <c r="H4">
        <f t="shared" si="3"/>
        <v>9.4050659264399358E-4</v>
      </c>
    </row>
    <row r="5" spans="1:8" x14ac:dyDescent="0.25">
      <c r="A5" t="s">
        <v>45</v>
      </c>
      <c r="B5">
        <f>Herd_decision_tree!E27</f>
        <v>1.2446611567405994</v>
      </c>
      <c r="C5" s="6">
        <f t="shared" si="0"/>
        <v>9.6992717031953612E-2</v>
      </c>
      <c r="D5">
        <v>0.04</v>
      </c>
      <c r="E5">
        <f t="shared" si="1"/>
        <v>5.0505050505050504E-2</v>
      </c>
      <c r="F5" s="6">
        <f t="shared" si="2"/>
        <v>4.6310464063123634E-2</v>
      </c>
      <c r="G5">
        <v>1.7484802431610944</v>
      </c>
      <c r="H5">
        <f t="shared" si="3"/>
        <v>5.0682252968829979E-2</v>
      </c>
    </row>
    <row r="6" spans="1:8" x14ac:dyDescent="0.25">
      <c r="A6" t="s">
        <v>25</v>
      </c>
      <c r="B6">
        <f>Herd_decision_tree!E23</f>
        <v>3.3517190309184576E-2</v>
      </c>
      <c r="C6" s="6">
        <f t="shared" si="0"/>
        <v>2.6118942796271452E-3</v>
      </c>
      <c r="D6">
        <v>2E-3</v>
      </c>
      <c r="E6">
        <f t="shared" si="1"/>
        <v>2.525252525252525E-3</v>
      </c>
      <c r="F6" s="6">
        <f t="shared" si="2"/>
        <v>-1.1024665346473853E-2</v>
      </c>
      <c r="G6">
        <v>112.96352583586625</v>
      </c>
      <c r="H6">
        <f t="shared" si="3"/>
        <v>1.3636559626100997E-2</v>
      </c>
    </row>
    <row r="7" spans="1:8" x14ac:dyDescent="0.25">
      <c r="B7">
        <f>SUM(B2:B6)</f>
        <v>12.832521810174201</v>
      </c>
      <c r="D7">
        <f>SUM(D2:D6)</f>
        <v>0.79200000000000004</v>
      </c>
      <c r="H7">
        <f>SUM(H2:H6)</f>
        <v>0.19442490737999032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42"/>
  <sheetViews>
    <sheetView tabSelected="1" topLeftCell="A28" workbookViewId="0">
      <selection activeCell="E43" sqref="E43"/>
    </sheetView>
  </sheetViews>
  <sheetFormatPr defaultRowHeight="15" x14ac:dyDescent="0.25"/>
  <cols>
    <col min="1" max="1" width="18.5703125" customWidth="1"/>
    <col min="2" max="4" width="15.28515625" bestFit="1" customWidth="1"/>
    <col min="5" max="5" width="16.28515625" bestFit="1" customWidth="1"/>
    <col min="7" max="7" width="28.42578125" customWidth="1"/>
    <col min="8" max="8" width="31.7109375" customWidth="1"/>
  </cols>
  <sheetData>
    <row r="1" spans="1:11" x14ac:dyDescent="0.25">
      <c r="A1" s="3"/>
      <c r="B1" s="2" t="s">
        <v>2</v>
      </c>
      <c r="C1" s="2" t="s">
        <v>3</v>
      </c>
      <c r="D1" s="2" t="s">
        <v>4</v>
      </c>
      <c r="E1" s="2" t="s">
        <v>32</v>
      </c>
      <c r="G1" s="1" t="s">
        <v>6</v>
      </c>
      <c r="K1" s="1" t="s">
        <v>36</v>
      </c>
    </row>
    <row r="2" spans="1:11" x14ac:dyDescent="0.25">
      <c r="A2" s="2" t="s">
        <v>0</v>
      </c>
      <c r="B2" s="8">
        <f>220785.652176112/1000000</f>
        <v>0.22078565217611199</v>
      </c>
      <c r="C2" s="8">
        <f>467695.362210333/1000000</f>
        <v>0.46769536221033298</v>
      </c>
      <c r="D2" s="8">
        <f>589697.332663339/1000000</f>
        <v>0.58969733266333901</v>
      </c>
      <c r="E2" s="9">
        <f>SUM(B2:D2)</f>
        <v>1.2781783470497841</v>
      </c>
      <c r="G2" t="s">
        <v>9</v>
      </c>
      <c r="H2" t="s">
        <v>7</v>
      </c>
      <c r="I2">
        <v>2E-3</v>
      </c>
      <c r="K2" t="s">
        <v>39</v>
      </c>
    </row>
    <row r="3" spans="1:11" x14ac:dyDescent="0.25">
      <c r="A3" s="2" t="s">
        <v>1</v>
      </c>
      <c r="B3" s="8">
        <f>4580694.99302149/1000000</f>
        <v>4.5806949930214902</v>
      </c>
      <c r="C3" s="8">
        <f>5931614.27070093/1000000</f>
        <v>5.9316142707009298</v>
      </c>
      <c r="D3" s="8">
        <v>4.9681075438200857</v>
      </c>
      <c r="E3" s="9">
        <f>SUM(B3:D3)</f>
        <v>15.480416807542506</v>
      </c>
      <c r="H3" t="s">
        <v>8</v>
      </c>
      <c r="I3">
        <v>0.68</v>
      </c>
      <c r="K3" t="s">
        <v>40</v>
      </c>
    </row>
    <row r="4" spans="1:11" x14ac:dyDescent="0.25">
      <c r="A4" s="2" t="s">
        <v>5</v>
      </c>
      <c r="B4" s="8">
        <f>SUM(B2:B3)</f>
        <v>4.8014806451976018</v>
      </c>
      <c r="C4" s="8">
        <f>SUM(C2:C3)</f>
        <v>6.3993096329112626</v>
      </c>
      <c r="D4" s="8">
        <f>SUM(D2:D3)</f>
        <v>5.5578048764834245</v>
      </c>
      <c r="E4" s="9">
        <f>SUM(B4:D4)</f>
        <v>16.758595154592289</v>
      </c>
    </row>
    <row r="5" spans="1:11" x14ac:dyDescent="0.25">
      <c r="B5" s="9"/>
      <c r="C5" s="9"/>
      <c r="D5" s="9"/>
      <c r="E5" s="9"/>
      <c r="G5" t="s">
        <v>38</v>
      </c>
      <c r="H5" t="s">
        <v>42</v>
      </c>
      <c r="I5" s="6">
        <f>0.7391304+0.085-J5</f>
        <v>0.82413039999999993</v>
      </c>
      <c r="J5">
        <v>0</v>
      </c>
      <c r="K5" t="s">
        <v>41</v>
      </c>
    </row>
    <row r="6" spans="1:11" x14ac:dyDescent="0.25">
      <c r="A6" s="5" t="s">
        <v>35</v>
      </c>
      <c r="B6" s="9"/>
      <c r="C6" s="9"/>
      <c r="D6" s="9"/>
      <c r="E6" s="9"/>
      <c r="H6" t="s">
        <v>43</v>
      </c>
      <c r="I6" s="6">
        <f>0.5348+0.15-J6</f>
        <v>0.68480000000000008</v>
      </c>
      <c r="J6">
        <v>0</v>
      </c>
      <c r="K6" t="s">
        <v>41</v>
      </c>
    </row>
    <row r="7" spans="1:11" x14ac:dyDescent="0.25">
      <c r="A7" s="2" t="s">
        <v>10</v>
      </c>
      <c r="B7" s="9"/>
      <c r="C7" s="9"/>
      <c r="D7" s="9"/>
      <c r="E7" s="9"/>
      <c r="H7" t="s">
        <v>44</v>
      </c>
      <c r="I7">
        <f>0.0567</f>
        <v>5.67E-2</v>
      </c>
      <c r="K7" t="s">
        <v>41</v>
      </c>
    </row>
    <row r="8" spans="1:11" x14ac:dyDescent="0.25">
      <c r="A8" s="3" t="s">
        <v>15</v>
      </c>
      <c r="B8" s="9">
        <f>B3*I5</f>
        <v>3.7750899968767975</v>
      </c>
      <c r="C8" s="9">
        <f>C3*I6</f>
        <v>4.0619694525759975</v>
      </c>
      <c r="D8" s="9"/>
      <c r="E8" s="9">
        <f t="shared" ref="E8:E18" si="0">SUM(B8:D8)</f>
        <v>7.837059449452795</v>
      </c>
    </row>
    <row r="9" spans="1:11" x14ac:dyDescent="0.25">
      <c r="A9" s="3" t="s">
        <v>16</v>
      </c>
      <c r="B9" s="9">
        <f>B8*(1-I9)</f>
        <v>3.3054688012653242</v>
      </c>
      <c r="C9" s="9">
        <f>C8*(1-I9)</f>
        <v>3.5566604526755436</v>
      </c>
      <c r="D9" s="9"/>
      <c r="E9" s="9">
        <f t="shared" si="0"/>
        <v>6.8621292539408678</v>
      </c>
      <c r="G9" t="s">
        <v>50</v>
      </c>
      <c r="H9" t="s">
        <v>11</v>
      </c>
      <c r="I9">
        <f>(0.1244)</f>
        <v>0.1244</v>
      </c>
      <c r="K9" t="s">
        <v>41</v>
      </c>
    </row>
    <row r="10" spans="1:11" x14ac:dyDescent="0.25">
      <c r="A10" s="3" t="s">
        <v>17</v>
      </c>
      <c r="B10" s="9">
        <f>B8*(I9)</f>
        <v>0.46962119561147359</v>
      </c>
      <c r="C10" s="9">
        <f>C8*(I9)</f>
        <v>0.50530899990045408</v>
      </c>
      <c r="D10" s="9"/>
      <c r="E10" s="9">
        <f t="shared" si="0"/>
        <v>0.97493019551192761</v>
      </c>
      <c r="H10" t="s">
        <v>12</v>
      </c>
      <c r="I10">
        <f>(0.07)</f>
        <v>7.0000000000000007E-2</v>
      </c>
      <c r="K10" t="s">
        <v>41</v>
      </c>
    </row>
    <row r="11" spans="1:11" x14ac:dyDescent="0.25">
      <c r="B11" s="9"/>
      <c r="C11" s="9"/>
      <c r="D11" s="9"/>
      <c r="E11" s="9"/>
      <c r="H11" t="s">
        <v>14</v>
      </c>
      <c r="I11">
        <f>(0.08)</f>
        <v>0.08</v>
      </c>
      <c r="K11" t="s">
        <v>41</v>
      </c>
    </row>
    <row r="12" spans="1:11" x14ac:dyDescent="0.25">
      <c r="A12" s="3" t="s">
        <v>18</v>
      </c>
      <c r="B12" s="9"/>
      <c r="C12" s="9">
        <f>C3*(1-I6)</f>
        <v>1.8696448181249326</v>
      </c>
      <c r="D12" s="9">
        <f>D3*(1-I6)</f>
        <v>1.5659474978120906</v>
      </c>
      <c r="E12" s="9">
        <f t="shared" si="0"/>
        <v>3.435592315937023</v>
      </c>
    </row>
    <row r="13" spans="1:11" x14ac:dyDescent="0.25">
      <c r="A13" s="3" t="s">
        <v>19</v>
      </c>
      <c r="B13" s="9"/>
      <c r="C13" s="9">
        <f>C12*(1-I10)</f>
        <v>1.7387696808561872</v>
      </c>
      <c r="D13" s="9">
        <f>D12*(1-I10)</f>
        <v>1.4563311729652442</v>
      </c>
      <c r="E13" s="9">
        <f t="shared" si="0"/>
        <v>3.1951008538214314</v>
      </c>
    </row>
    <row r="14" spans="1:11" x14ac:dyDescent="0.25">
      <c r="A14" s="3" t="s">
        <v>20</v>
      </c>
      <c r="B14" s="9"/>
      <c r="C14" s="9">
        <f>C12*(I10)</f>
        <v>0.13087513726874528</v>
      </c>
      <c r="D14" s="9">
        <f>D12*(I10)</f>
        <v>0.10961632484684636</v>
      </c>
      <c r="E14" s="9">
        <f t="shared" si="0"/>
        <v>0.24049146211559164</v>
      </c>
    </row>
    <row r="15" spans="1:11" x14ac:dyDescent="0.25">
      <c r="B15" s="9"/>
      <c r="C15" s="9"/>
      <c r="D15" s="9"/>
      <c r="E15" s="9"/>
    </row>
    <row r="16" spans="1:11" x14ac:dyDescent="0.25">
      <c r="A16" s="3" t="s">
        <v>13</v>
      </c>
      <c r="B16" s="9"/>
      <c r="C16" s="9"/>
      <c r="D16" s="9">
        <f>D3*I7</f>
        <v>0.28169169773459884</v>
      </c>
      <c r="E16" s="9">
        <f t="shared" si="0"/>
        <v>0.28169169773459884</v>
      </c>
    </row>
    <row r="17" spans="1:7" x14ac:dyDescent="0.25">
      <c r="A17" s="3" t="s">
        <v>21</v>
      </c>
      <c r="B17" s="9"/>
      <c r="C17" s="9"/>
      <c r="D17" s="9">
        <f>D$16*(1-I11)</f>
        <v>0.25915636191583097</v>
      </c>
      <c r="E17" s="9">
        <f t="shared" si="0"/>
        <v>0.25915636191583097</v>
      </c>
    </row>
    <row r="18" spans="1:7" x14ac:dyDescent="0.25">
      <c r="A18" s="3" t="s">
        <v>22</v>
      </c>
      <c r="B18" s="9"/>
      <c r="C18" s="9"/>
      <c r="D18" s="9">
        <f>D$16*(I11)</f>
        <v>2.2535335818767908E-2</v>
      </c>
      <c r="E18" s="9">
        <f t="shared" si="0"/>
        <v>2.2535335818767908E-2</v>
      </c>
    </row>
    <row r="19" spans="1:7" x14ac:dyDescent="0.25">
      <c r="B19" s="9"/>
      <c r="C19" s="9"/>
      <c r="D19" s="9"/>
      <c r="E19" s="9"/>
    </row>
    <row r="20" spans="1:7" x14ac:dyDescent="0.25">
      <c r="B20" s="9"/>
      <c r="C20" s="9"/>
      <c r="D20" s="9"/>
      <c r="E20" s="9"/>
    </row>
    <row r="21" spans="1:7" x14ac:dyDescent="0.25">
      <c r="A21" s="3" t="s">
        <v>30</v>
      </c>
      <c r="B21" s="9">
        <f>SUM(B13:B14)+SUM(B9:B10)</f>
        <v>3.7750899968767979</v>
      </c>
      <c r="C21" s="9">
        <f>SUM(C13:C14)+SUM(C9:C10)</f>
        <v>5.9316142707009298</v>
      </c>
      <c r="D21" s="9">
        <f>SUM(D13:D14)+SUM(D17:D18)</f>
        <v>1.8476391955466895</v>
      </c>
      <c r="E21" s="9">
        <f>SUM(B21:D21)</f>
        <v>11.554343463124416</v>
      </c>
    </row>
    <row r="22" spans="1:7" x14ac:dyDescent="0.25">
      <c r="A22" s="3"/>
      <c r="B22" s="9"/>
      <c r="C22" s="9"/>
      <c r="D22" s="9"/>
      <c r="E22" s="9"/>
    </row>
    <row r="23" spans="1:7" x14ac:dyDescent="0.25">
      <c r="A23" s="3" t="s">
        <v>25</v>
      </c>
      <c r="B23" s="9">
        <f>B4*$I2</f>
        <v>9.6029612903952045E-3</v>
      </c>
      <c r="C23" s="9">
        <f t="shared" ref="C23:D23" si="1">C4*$I2</f>
        <v>1.2798619265822526E-2</v>
      </c>
      <c r="D23" s="9">
        <f t="shared" si="1"/>
        <v>1.1115609752966849E-2</v>
      </c>
      <c r="E23" s="9">
        <f>SUM(B23:D23)</f>
        <v>3.3517190309184576E-2</v>
      </c>
    </row>
    <row r="24" spans="1:7" x14ac:dyDescent="0.25">
      <c r="A24" s="3" t="s">
        <v>26</v>
      </c>
      <c r="B24" s="9">
        <f>B23*$I3</f>
        <v>6.5300136774687394E-3</v>
      </c>
      <c r="C24" s="9">
        <f t="shared" ref="C24:D24" si="2">C23*$I3</f>
        <v>8.7030611007593191E-3</v>
      </c>
      <c r="D24" s="9">
        <f t="shared" si="2"/>
        <v>7.5586146320174574E-3</v>
      </c>
      <c r="E24" s="9">
        <f>SUM(B24:D24)</f>
        <v>2.2791689410245515E-2</v>
      </c>
      <c r="G24">
        <f>E24*E42</f>
        <v>2.943040940522464E-2</v>
      </c>
    </row>
    <row r="25" spans="1:7" x14ac:dyDescent="0.25">
      <c r="A25" s="3" t="s">
        <v>27</v>
      </c>
      <c r="B25" s="9">
        <f>B23*(1-$I3)</f>
        <v>3.0729476129264651E-3</v>
      </c>
      <c r="C25" s="9">
        <f t="shared" ref="C25:D25" si="3">C23*(1-$I3)</f>
        <v>4.0955581650632079E-3</v>
      </c>
      <c r="D25" s="9">
        <f t="shared" si="3"/>
        <v>3.556995120949391E-3</v>
      </c>
      <c r="E25" s="9">
        <f t="shared" ref="E24:E29" si="4">SUM(B25:D25)</f>
        <v>1.0725500898939064E-2</v>
      </c>
      <c r="G25">
        <f>E25*1.21</f>
        <v>1.2977856087716268E-2</v>
      </c>
    </row>
    <row r="26" spans="1:7" x14ac:dyDescent="0.25">
      <c r="A26" s="3"/>
      <c r="B26" s="9"/>
      <c r="C26" s="9"/>
      <c r="D26" s="9"/>
      <c r="E26" s="9"/>
    </row>
    <row r="27" spans="1:7" x14ac:dyDescent="0.25">
      <c r="A27" s="3" t="s">
        <v>24</v>
      </c>
      <c r="B27" s="9">
        <f>B2-B23</f>
        <v>0.21118269088571678</v>
      </c>
      <c r="C27" s="9">
        <f t="shared" ref="C27:D27" si="5">C2-C23</f>
        <v>0.45489674294451043</v>
      </c>
      <c r="D27" s="9">
        <f t="shared" si="5"/>
        <v>0.57858172291037213</v>
      </c>
      <c r="E27" s="9">
        <f t="shared" si="4"/>
        <v>1.2446611567405994</v>
      </c>
      <c r="G27">
        <f>22*1.21</f>
        <v>26.619999999999997</v>
      </c>
    </row>
    <row r="28" spans="1:7" x14ac:dyDescent="0.25">
      <c r="A28" s="3" t="s">
        <v>28</v>
      </c>
      <c r="B28" s="9">
        <f>B27*($I3)</f>
        <v>0.14360422980228743</v>
      </c>
      <c r="C28" s="9">
        <f t="shared" ref="C28:D28" si="6">C27*($I3)</f>
        <v>0.30932978520226712</v>
      </c>
      <c r="D28" s="9">
        <f>D27*($I3)</f>
        <v>0.39343557157905307</v>
      </c>
      <c r="E28" s="9">
        <f t="shared" si="4"/>
        <v>0.84636958658360761</v>
      </c>
      <c r="G28">
        <f>E28*1.21</f>
        <v>1.0241071997661653</v>
      </c>
    </row>
    <row r="29" spans="1:7" x14ac:dyDescent="0.25">
      <c r="A29" s="3" t="s">
        <v>29</v>
      </c>
      <c r="B29" s="9">
        <f>B27*(1-$I3)</f>
        <v>6.7578461083429367E-2</v>
      </c>
      <c r="C29" s="9">
        <f t="shared" ref="C29:D29" si="7">C27*(1-$I3)</f>
        <v>0.14556695774224332</v>
      </c>
      <c r="D29" s="9">
        <f t="shared" si="7"/>
        <v>0.18514615133131906</v>
      </c>
      <c r="E29" s="9">
        <f t="shared" si="4"/>
        <v>0.39829157015699174</v>
      </c>
    </row>
    <row r="30" spans="1:7" x14ac:dyDescent="0.25">
      <c r="A30" s="3"/>
      <c r="B30" s="9"/>
      <c r="C30" s="9"/>
      <c r="D30" s="9"/>
      <c r="E30" s="9"/>
    </row>
    <row r="31" spans="1:7" x14ac:dyDescent="0.25">
      <c r="A31" s="3" t="s">
        <v>31</v>
      </c>
      <c r="B31" s="9">
        <f>SUM(B9:B10,B13:B14,B24:B25,B28:B29)</f>
        <v>3.9958756490529095</v>
      </c>
      <c r="C31" s="9">
        <f>SUM(C9:C10,C13:C14,C24:C25,C28:C29)</f>
        <v>6.3993096329112626</v>
      </c>
      <c r="D31" s="9">
        <f>SUM(D9:D10,D13:D14,D28:D29,D17:D18)</f>
        <v>2.4262209184570618</v>
      </c>
      <c r="E31" s="9">
        <f>SUM(B31:D31)</f>
        <v>12.821406200421235</v>
      </c>
    </row>
    <row r="32" spans="1:7" x14ac:dyDescent="0.25">
      <c r="B32" s="9"/>
      <c r="C32" s="9"/>
      <c r="D32" s="9"/>
      <c r="E32" s="9"/>
    </row>
    <row r="33" spans="1:7" x14ac:dyDescent="0.25">
      <c r="A33" s="2" t="s">
        <v>37</v>
      </c>
      <c r="B33" s="9"/>
      <c r="C33" s="9"/>
      <c r="D33" s="9"/>
      <c r="E33" s="9"/>
    </row>
    <row r="34" spans="1:7" x14ac:dyDescent="0.25">
      <c r="A34" s="4" t="s">
        <v>33</v>
      </c>
      <c r="B34" s="9"/>
      <c r="C34" s="9"/>
      <c r="D34" s="9"/>
      <c r="E34" s="9"/>
      <c r="G34" s="3"/>
    </row>
    <row r="35" spans="1:7" x14ac:dyDescent="0.25">
      <c r="A35" s="3" t="s">
        <v>23</v>
      </c>
      <c r="B35" s="9">
        <f>SUM(B9,B13)</f>
        <v>3.3054688012653242</v>
      </c>
      <c r="C35" s="9">
        <f t="shared" ref="C35:D36" si="8">SUM(C9,C13)</f>
        <v>5.2954301335317311</v>
      </c>
      <c r="D35" s="9">
        <f>SUM(D13,D17)</f>
        <v>1.7154875348810752</v>
      </c>
      <c r="E35" s="9">
        <f>SUM(B35:D35)</f>
        <v>10.316386469678131</v>
      </c>
      <c r="F35">
        <f>E35/E$39</f>
        <v>0.80533937255364851</v>
      </c>
    </row>
    <row r="36" spans="1:7" x14ac:dyDescent="0.25">
      <c r="A36" s="3" t="s">
        <v>51</v>
      </c>
      <c r="B36" s="9">
        <f>SUM(B10,B14)</f>
        <v>0.46962119561147359</v>
      </c>
      <c r="C36" s="9">
        <f t="shared" si="8"/>
        <v>0.63618413716919942</v>
      </c>
      <c r="D36" s="9">
        <f t="shared" si="8"/>
        <v>0.10961632484684636</v>
      </c>
      <c r="E36" s="10">
        <f>SUM(B36:D36)</f>
        <v>1.2154216576275192</v>
      </c>
      <c r="F36">
        <f>E36/E$39</f>
        <v>9.488079164335543E-2</v>
      </c>
    </row>
    <row r="37" spans="1:7" x14ac:dyDescent="0.25">
      <c r="A37" s="3" t="s">
        <v>52</v>
      </c>
      <c r="B37" s="9">
        <f>SUM(B24,B28)</f>
        <v>0.15013424347975618</v>
      </c>
      <c r="C37" s="9">
        <f t="shared" ref="C37:D37" si="9">SUM(C24,C28)</f>
        <v>0.31803284630302642</v>
      </c>
      <c r="D37" s="9">
        <f t="shared" si="9"/>
        <v>0.40099418621107052</v>
      </c>
      <c r="E37" s="9">
        <f>SUM(B37:D37)</f>
        <v>0.86916127599385318</v>
      </c>
      <c r="F37">
        <f>E37/E$39</f>
        <v>6.7850288346037235E-2</v>
      </c>
    </row>
    <row r="38" spans="1:7" x14ac:dyDescent="0.25">
      <c r="A38" s="3" t="s">
        <v>34</v>
      </c>
      <c r="B38" s="9">
        <f>SUM(B25,B29)</f>
        <v>7.0651408696355833E-2</v>
      </c>
      <c r="C38" s="9">
        <f t="shared" ref="C38" si="10">SUM(C25,C29)</f>
        <v>0.14966251590730653</v>
      </c>
      <c r="D38" s="9">
        <f>SUM(D25,D29)</f>
        <v>0.18870314645226846</v>
      </c>
      <c r="E38" s="9">
        <f t="shared" ref="E38" si="11">SUM(B38:D38)</f>
        <v>0.40901707105593083</v>
      </c>
      <c r="F38">
        <f>E38/E$39</f>
        <v>3.1929547456958689E-2</v>
      </c>
    </row>
    <row r="39" spans="1:7" x14ac:dyDescent="0.25">
      <c r="A39" s="3" t="s">
        <v>32</v>
      </c>
      <c r="B39" s="9">
        <f>SUM(B35:B38)</f>
        <v>3.9958756490529099</v>
      </c>
      <c r="C39" s="9">
        <f t="shared" ref="C39:D39" si="12">SUM(C35:C38)</f>
        <v>6.3993096329112635</v>
      </c>
      <c r="D39" s="9">
        <f t="shared" si="12"/>
        <v>2.4148011923912605</v>
      </c>
      <c r="E39" s="9">
        <f>SUM(B39:D39)</f>
        <v>12.809986474355435</v>
      </c>
    </row>
    <row r="41" spans="1:7" x14ac:dyDescent="0.25">
      <c r="A41" s="4"/>
      <c r="E41">
        <f>16.541255</f>
        <v>16.541255</v>
      </c>
    </row>
    <row r="42" spans="1:7" x14ac:dyDescent="0.25">
      <c r="E42">
        <f>E41/E39</f>
        <v>1.2912781003410319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6"/>
  <sheetViews>
    <sheetView workbookViewId="0">
      <selection activeCell="E3" sqref="E3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48</v>
      </c>
      <c r="D1" t="s">
        <v>49</v>
      </c>
      <c r="E1">
        <v>2050</v>
      </c>
    </row>
    <row r="2" spans="1:5" x14ac:dyDescent="0.25">
      <c r="A2" t="s">
        <v>15</v>
      </c>
      <c r="B2" s="7">
        <f>Validate_2020!B2*Herd_decision_tree!E42</f>
        <v>10.119823238149138</v>
      </c>
      <c r="C2">
        <f>[1]FAO_2019_animal_trends!$G$35/100</f>
        <v>2.70428359369478E-3</v>
      </c>
      <c r="D2">
        <f>B2*C2*30</f>
        <v>0.82100615862053694</v>
      </c>
      <c r="E2">
        <f>B2+D2</f>
        <v>10.940829396769676</v>
      </c>
    </row>
    <row r="3" spans="1:5" x14ac:dyDescent="0.25">
      <c r="A3" t="s">
        <v>18</v>
      </c>
      <c r="B3" s="7">
        <f>Validate_2020!B3*Herd_decision_tree!E42</f>
        <v>4.436305119269405</v>
      </c>
      <c r="C3">
        <f>[1]FAO_2019_animal_trends!$G36/100</f>
        <v>2.5359763127554759E-2</v>
      </c>
      <c r="D3">
        <f t="shared" ref="D3:D6" si="0">B3*C3*30</f>
        <v>3.3751094095869205</v>
      </c>
      <c r="E3">
        <f t="shared" ref="E3:E6" si="1">B3+D3</f>
        <v>7.811414528856325</v>
      </c>
    </row>
    <row r="4" spans="1:5" x14ac:dyDescent="0.25">
      <c r="A4" t="s">
        <v>13</v>
      </c>
      <c r="B4" s="7">
        <f>Validate_2020!B4*Herd_decision_tree!E42</f>
        <v>0.36374232033257292</v>
      </c>
      <c r="C4">
        <f>[1]FAO_2019_animal_trends!$G39/100</f>
        <v>9.375003453992814E-2</v>
      </c>
      <c r="D4">
        <f t="shared" si="0"/>
        <v>1.0230256528443695</v>
      </c>
      <c r="E4">
        <f t="shared" si="1"/>
        <v>1.3867679731769424</v>
      </c>
    </row>
    <row r="5" spans="1:5" x14ac:dyDescent="0.25">
      <c r="A5" t="s">
        <v>45</v>
      </c>
      <c r="B5" s="7">
        <f>Validate_2020!B5*Herd_decision_tree!E42</f>
        <v>1.6072036940442724</v>
      </c>
      <c r="C5">
        <f>[1]FAO_2019_animal_trends!$G38/100</f>
        <v>1.7484802431610946E-2</v>
      </c>
      <c r="D5">
        <f t="shared" si="0"/>
        <v>0.84304917173158167</v>
      </c>
      <c r="E5">
        <f t="shared" si="1"/>
        <v>2.450252865775854</v>
      </c>
    </row>
    <row r="6" spans="1:5" x14ac:dyDescent="0.25">
      <c r="A6" t="s">
        <v>25</v>
      </c>
      <c r="B6" s="7">
        <f>Validate_2020!B6*Herd_decision_tree!E42</f>
        <v>4.3280013831212702E-2</v>
      </c>
      <c r="C6">
        <f>[1]FAO_2019_animal_trends!$G37/100</f>
        <v>1.1296352583586624</v>
      </c>
      <c r="D6">
        <f t="shared" si="0"/>
        <v>1.4667188881796533</v>
      </c>
      <c r="E6">
        <f t="shared" si="1"/>
        <v>1.509998902010866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E8"/>
  <sheetViews>
    <sheetView workbookViewId="0">
      <selection activeCell="D8" sqref="D8"/>
    </sheetView>
  </sheetViews>
  <sheetFormatPr defaultRowHeight="15" x14ac:dyDescent="0.25"/>
  <sheetData>
    <row r="1" spans="1:5" x14ac:dyDescent="0.25">
      <c r="B1">
        <v>2020</v>
      </c>
    </row>
    <row r="2" spans="1:5" x14ac:dyDescent="0.25">
      <c r="B2" t="s">
        <v>57</v>
      </c>
      <c r="C2" t="s">
        <v>58</v>
      </c>
      <c r="E2" t="s">
        <v>59</v>
      </c>
    </row>
    <row r="3" spans="1:5" x14ac:dyDescent="0.25">
      <c r="A3" t="s">
        <v>15</v>
      </c>
      <c r="B3">
        <f>[2]Pastoral_Zebu_2020!$K$2</f>
        <v>7912803.5780913802</v>
      </c>
      <c r="C3">
        <f>[3]Pastoral_Boran_2020!$K$2</f>
        <v>1124203.7226895699</v>
      </c>
      <c r="D3">
        <f>SUM(B3:C3)/1000000</f>
        <v>9.0370073007809495</v>
      </c>
      <c r="E3">
        <f>Herd_decision_tree!E8*Herd_decision_tree!$E$42</f>
        <v>10.119823238149138</v>
      </c>
    </row>
    <row r="4" spans="1:5" x14ac:dyDescent="0.25">
      <c r="A4" t="s">
        <v>18</v>
      </c>
      <c r="B4">
        <f>[4]Agpastoral_Zebu_2020!$K$2</f>
        <v>3685141.0110471202</v>
      </c>
      <c r="C4">
        <f>[5]Agpastoral_Boran_2020!$K$2</f>
        <v>277376.20390618598</v>
      </c>
      <c r="D4">
        <f>SUM(B4:C4)/1000000</f>
        <v>3.9625172149533063</v>
      </c>
      <c r="E4">
        <f>Herd_decision_tree!E12*Herd_decision_tree!$E$42</f>
        <v>4.436305119269405</v>
      </c>
    </row>
    <row r="5" spans="1:5" x14ac:dyDescent="0.25">
      <c r="A5" t="s">
        <v>13</v>
      </c>
      <c r="B5">
        <f>[6]Mixed_Zebu_2020!$K$2</f>
        <v>298374.71550379699</v>
      </c>
      <c r="C5">
        <f>[7]Mixed_Boran_2020!$K$2</f>
        <v>25945.627401560501</v>
      </c>
      <c r="D5">
        <f>SUM(B5:C5)/1000000</f>
        <v>0.32432034290535749</v>
      </c>
      <c r="E5">
        <f>Herd_decision_tree!E16*Herd_decision_tree!$E$42</f>
        <v>0.36374232033257292</v>
      </c>
    </row>
    <row r="6" spans="1:5" x14ac:dyDescent="0.25">
      <c r="A6" t="s">
        <v>45</v>
      </c>
      <c r="B6">
        <f>[8]Cowcalf_Boran_2020!$K$2</f>
        <v>1184753.34766715</v>
      </c>
      <c r="C6">
        <f>[9]Cowcalf_Exotic_2020!$K$2</f>
        <v>985977.36353097099</v>
      </c>
      <c r="D6">
        <f t="shared" ref="D6:D7" si="0">SUM(B6:C6)/1000000</f>
        <v>2.1707307111981207</v>
      </c>
      <c r="E6">
        <f>Herd_decision_tree!E27*Herd_decision_tree!$E$42</f>
        <v>1.6072036940442724</v>
      </c>
    </row>
    <row r="7" spans="1:5" x14ac:dyDescent="0.25">
      <c r="A7" t="s">
        <v>25</v>
      </c>
      <c r="B7">
        <f>[10]Finisher_Boran_2020!$K$2</f>
        <v>26321.876059999999</v>
      </c>
      <c r="C7">
        <f>[11]Finisher_Exotic_2020!$K$2</f>
        <v>12386.7653238613</v>
      </c>
      <c r="D7">
        <f t="shared" si="0"/>
        <v>3.8708641383861299E-2</v>
      </c>
      <c r="E7">
        <f>Herd_decision_tree!E23*Herd_decision_tree!$E$42</f>
        <v>4.3280013831212702E-2</v>
      </c>
    </row>
    <row r="8" spans="1:5" x14ac:dyDescent="0.25">
      <c r="D8">
        <f>SUM(D3:D7)</f>
        <v>15.533284211221597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Validate_2020</vt:lpstr>
      <vt:lpstr>Herd_decision_tree</vt:lpstr>
      <vt:lpstr>Projections</vt:lpstr>
      <vt:lpstr>ZS_Summary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Hawkins, James (ILRI)</cp:lastModifiedBy>
  <dcterms:created xsi:type="dcterms:W3CDTF">2026-06-13T04:30:46Z</dcterms:created>
  <dcterms:modified xsi:type="dcterms:W3CDTF">2026-06-16T06:14:31Z</dcterms:modified>
</cp:coreProperties>
</file>