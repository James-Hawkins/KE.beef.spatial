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Rasterized animal populations\Zonal statistics\"/>
    </mc:Choice>
  </mc:AlternateContent>
  <xr:revisionPtr revIDLastSave="0" documentId="13_ncr:1_{F09F6B25-3816-4EAA-88DF-1790863E079D}" xr6:coauthVersionLast="47" xr6:coauthVersionMax="47" xr10:uidLastSave="{00000000-0000-0000-0000-000000000000}"/>
  <bookViews>
    <workbookView xWindow="-120" yWindow="-120" windowWidth="21840" windowHeight="13020" firstSheet="3" activeTab="6" xr2:uid="{3882C52B-09A6-47D1-94BA-1F6173569800}"/>
  </bookViews>
  <sheets>
    <sheet name="Validate_2020" sheetId="2" r:id="rId1"/>
    <sheet name="Herd_decision_tree" sheetId="4" r:id="rId2"/>
    <sheet name="Projections" sheetId="3" r:id="rId3"/>
    <sheet name="ZS_Summary" sheetId="6" r:id="rId4"/>
    <sheet name="NPP" sheetId="8" r:id="rId5"/>
    <sheet name="Carrying_Capacity" sheetId="7" r:id="rId6"/>
    <sheet name="CC_to_Rumen8.io" sheetId="10" r:id="rId7"/>
    <sheet name="Beef_population_to_GIS" sheetId="9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7" l="1"/>
  <c r="N11" i="9" l="1"/>
  <c r="N12" i="9"/>
  <c r="N15" i="9" s="1"/>
  <c r="N13" i="9"/>
  <c r="N14" i="9"/>
  <c r="N10" i="9"/>
  <c r="E94" i="7"/>
  <c r="D96" i="7"/>
  <c r="C95" i="7"/>
  <c r="C96" i="7"/>
  <c r="B43" i="7"/>
  <c r="B35" i="7"/>
  <c r="B41" i="7" s="1"/>
  <c r="B36" i="7"/>
  <c r="B42" i="7" s="1"/>
  <c r="B37" i="7"/>
  <c r="B38" i="7"/>
  <c r="B44" i="7" s="1"/>
  <c r="B34" i="7"/>
  <c r="B40" i="7" s="1"/>
  <c r="I7" i="7"/>
  <c r="I6" i="7"/>
  <c r="J43" i="4" l="1"/>
  <c r="K43" i="4"/>
  <c r="K42" i="4"/>
  <c r="J42" i="4"/>
  <c r="I43" i="4"/>
  <c r="B244" i="7" l="1"/>
  <c r="B266" i="7" s="1"/>
  <c r="B245" i="7"/>
  <c r="B267" i="7" s="1"/>
  <c r="B246" i="7"/>
  <c r="B268" i="7" s="1"/>
  <c r="B247" i="7"/>
  <c r="B269" i="7" s="1"/>
  <c r="B248" i="7"/>
  <c r="B270" i="7" s="1"/>
  <c r="B249" i="7"/>
  <c r="B271" i="7" s="1"/>
  <c r="B233" i="7"/>
  <c r="B255" i="7" s="1"/>
  <c r="B234" i="7"/>
  <c r="B256" i="7" s="1"/>
  <c r="B235" i="7"/>
  <c r="B257" i="7" s="1"/>
  <c r="B236" i="7"/>
  <c r="B285" i="7" s="1"/>
  <c r="B305" i="7" s="1"/>
  <c r="B237" i="7"/>
  <c r="B259" i="7" s="1"/>
  <c r="B238" i="7"/>
  <c r="B260" i="7" s="1"/>
  <c r="B239" i="7"/>
  <c r="B261" i="7" s="1"/>
  <c r="B240" i="7"/>
  <c r="B262" i="7" s="1"/>
  <c r="B241" i="7"/>
  <c r="B263" i="7" s="1"/>
  <c r="B242" i="7"/>
  <c r="B264" i="7" s="1"/>
  <c r="B243" i="7"/>
  <c r="B265" i="7" s="1"/>
  <c r="B232" i="7"/>
  <c r="B281" i="7" s="1"/>
  <c r="B301" i="7" s="1"/>
  <c r="B96" i="7"/>
  <c r="B105" i="7" s="1"/>
  <c r="B113" i="7" s="1"/>
  <c r="B120" i="7" s="1"/>
  <c r="B127" i="7" s="1"/>
  <c r="B134" i="7" s="1"/>
  <c r="B143" i="7" s="1"/>
  <c r="B150" i="7" s="1"/>
  <c r="B157" i="7" s="1"/>
  <c r="B164" i="7" s="1"/>
  <c r="B171" i="7" s="1"/>
  <c r="B178" i="7" s="1"/>
  <c r="B185" i="7" s="1"/>
  <c r="I86" i="7"/>
  <c r="I88" i="7" s="1"/>
  <c r="I90" i="7" s="1"/>
  <c r="I92" i="7" s="1"/>
  <c r="I94" i="7" s="1"/>
  <c r="I96" i="7" s="1"/>
  <c r="I98" i="7" s="1"/>
  <c r="I100" i="7" s="1"/>
  <c r="I85" i="7"/>
  <c r="I87" i="7" s="1"/>
  <c r="I89" i="7" s="1"/>
  <c r="I91" i="7" s="1"/>
  <c r="I93" i="7" s="1"/>
  <c r="A215" i="7"/>
  <c r="B217" i="7"/>
  <c r="B224" i="7" s="1"/>
  <c r="A208" i="7"/>
  <c r="A201" i="7"/>
  <c r="A194" i="7"/>
  <c r="A187" i="7"/>
  <c r="A180" i="7"/>
  <c r="A173" i="7"/>
  <c r="A166" i="7"/>
  <c r="A159" i="7"/>
  <c r="A152" i="7"/>
  <c r="A145" i="7"/>
  <c r="A138" i="7"/>
  <c r="A131" i="7"/>
  <c r="A122" i="7"/>
  <c r="A116" i="7"/>
  <c r="A108" i="7"/>
  <c r="A101" i="7"/>
  <c r="A93" i="7"/>
  <c r="B110" i="7"/>
  <c r="B117" i="7" s="1"/>
  <c r="B124" i="7" s="1"/>
  <c r="B131" i="7" s="1"/>
  <c r="B140" i="7" s="1"/>
  <c r="B147" i="7" s="1"/>
  <c r="B154" i="7" s="1"/>
  <c r="B161" i="7" s="1"/>
  <c r="B168" i="7" s="1"/>
  <c r="B175" i="7" s="1"/>
  <c r="B182" i="7" s="1"/>
  <c r="B189" i="7" s="1"/>
  <c r="B196" i="7" s="1"/>
  <c r="B203" i="7" s="1"/>
  <c r="B210" i="7" s="1"/>
  <c r="B104" i="7"/>
  <c r="B112" i="7" s="1"/>
  <c r="B119" i="7" s="1"/>
  <c r="B126" i="7" s="1"/>
  <c r="B133" i="7" s="1"/>
  <c r="B142" i="7" s="1"/>
  <c r="B149" i="7" s="1"/>
  <c r="B156" i="7" s="1"/>
  <c r="B163" i="7" s="1"/>
  <c r="B170" i="7" s="1"/>
  <c r="B177" i="7" s="1"/>
  <c r="B184" i="7" s="1"/>
  <c r="B191" i="7" s="1"/>
  <c r="B198" i="7" s="1"/>
  <c r="B205" i="7" s="1"/>
  <c r="B212" i="7" s="1"/>
  <c r="B219" i="7" s="1"/>
  <c r="B226" i="7" s="1"/>
  <c r="B106" i="7"/>
  <c r="B114" i="7" s="1"/>
  <c r="B121" i="7" s="1"/>
  <c r="B128" i="7" s="1"/>
  <c r="B135" i="7" s="1"/>
  <c r="B144" i="7" s="1"/>
  <c r="B151" i="7" s="1"/>
  <c r="B158" i="7" s="1"/>
  <c r="B165" i="7" s="1"/>
  <c r="B172" i="7" s="1"/>
  <c r="B179" i="7" s="1"/>
  <c r="B186" i="7" s="1"/>
  <c r="B193" i="7" s="1"/>
  <c r="B200" i="7" s="1"/>
  <c r="B207" i="7" s="1"/>
  <c r="B214" i="7" s="1"/>
  <c r="B221" i="7" s="1"/>
  <c r="B228" i="7" s="1"/>
  <c r="B107" i="7"/>
  <c r="B115" i="7" s="1"/>
  <c r="B122" i="7" s="1"/>
  <c r="B129" i="7" s="1"/>
  <c r="B136" i="7" s="1"/>
  <c r="B145" i="7" s="1"/>
  <c r="B152" i="7" s="1"/>
  <c r="B159" i="7" s="1"/>
  <c r="B166" i="7" s="1"/>
  <c r="B173" i="7" s="1"/>
  <c r="B180" i="7" s="1"/>
  <c r="B187" i="7" s="1"/>
  <c r="B194" i="7" s="1"/>
  <c r="B201" i="7" s="1"/>
  <c r="B208" i="7" s="1"/>
  <c r="B215" i="7" s="1"/>
  <c r="B222" i="7" s="1"/>
  <c r="B229" i="7" s="1"/>
  <c r="B137" i="7"/>
  <c r="B138" i="7"/>
  <c r="B103" i="7"/>
  <c r="B111" i="7" s="1"/>
  <c r="B118" i="7" s="1"/>
  <c r="B125" i="7" s="1"/>
  <c r="B132" i="7" s="1"/>
  <c r="B141" i="7" s="1"/>
  <c r="B148" i="7" s="1"/>
  <c r="B155" i="7" s="1"/>
  <c r="B162" i="7" s="1"/>
  <c r="B169" i="7" s="1"/>
  <c r="B176" i="7" s="1"/>
  <c r="B183" i="7" s="1"/>
  <c r="B190" i="7" s="1"/>
  <c r="B197" i="7" s="1"/>
  <c r="B204" i="7" s="1"/>
  <c r="B211" i="7" s="1"/>
  <c r="B218" i="7" s="1"/>
  <c r="B225" i="7" s="1"/>
  <c r="I7" i="4"/>
  <c r="I9" i="4"/>
  <c r="I8" i="4"/>
  <c r="B2" i="4"/>
  <c r="B284" i="7" l="1"/>
  <c r="B304" i="7" s="1"/>
  <c r="B258" i="7"/>
  <c r="B286" i="7"/>
  <c r="B306" i="7" s="1"/>
  <c r="B282" i="7"/>
  <c r="B302" i="7" s="1"/>
  <c r="B287" i="7"/>
  <c r="B307" i="7" s="1"/>
  <c r="B291" i="7"/>
  <c r="B311" i="7" s="1"/>
  <c r="B298" i="7"/>
  <c r="B318" i="7" s="1"/>
  <c r="B292" i="7"/>
  <c r="B312" i="7" s="1"/>
  <c r="B290" i="7"/>
  <c r="B310" i="7" s="1"/>
  <c r="B283" i="7"/>
  <c r="B303" i="7" s="1"/>
  <c r="B297" i="7"/>
  <c r="B317" i="7" s="1"/>
  <c r="B296" i="7"/>
  <c r="B316" i="7" s="1"/>
  <c r="B295" i="7"/>
  <c r="B315" i="7" s="1"/>
  <c r="B293" i="7"/>
  <c r="B313" i="7" s="1"/>
  <c r="B294" i="7"/>
  <c r="B314" i="7" s="1"/>
  <c r="B289" i="7"/>
  <c r="B309" i="7" s="1"/>
  <c r="B288" i="7"/>
  <c r="B308" i="7" s="1"/>
  <c r="B254" i="7"/>
  <c r="B192" i="7"/>
  <c r="B199" i="7" s="1"/>
  <c r="B206" i="7" s="1"/>
  <c r="B213" i="7" s="1"/>
  <c r="B220" i="7" s="1"/>
  <c r="B227" i="7" s="1"/>
  <c r="I95" i="7"/>
  <c r="I97" i="7" l="1"/>
  <c r="I99" i="7" s="1"/>
  <c r="G2" i="2"/>
  <c r="E176" i="7" l="1"/>
  <c r="E183" i="7"/>
  <c r="E190" i="7"/>
  <c r="E103" i="7"/>
  <c r="E48" i="4"/>
  <c r="B66" i="7"/>
  <c r="B70" i="7" s="1"/>
  <c r="B88" i="7" s="1"/>
  <c r="B67" i="7"/>
  <c r="B85" i="7" s="1"/>
  <c r="B65" i="7"/>
  <c r="B83" i="7" s="1"/>
  <c r="B84" i="7" l="1"/>
  <c r="B77" i="7"/>
  <c r="B69" i="7"/>
  <c r="B71" i="7"/>
  <c r="B89" i="7" l="1"/>
  <c r="B78" i="7"/>
  <c r="B87" i="7"/>
  <c r="B76" i="7"/>
  <c r="D5" i="4" l="1"/>
  <c r="D4" i="4"/>
  <c r="D3" i="4"/>
  <c r="D2" i="4"/>
  <c r="C5" i="4"/>
  <c r="C4" i="4"/>
  <c r="C3" i="4"/>
  <c r="C2" i="4"/>
  <c r="B5" i="4"/>
  <c r="B4" i="4"/>
  <c r="B3" i="4"/>
  <c r="D7" i="9"/>
  <c r="D10" i="9" s="1"/>
  <c r="D13" i="9" s="1"/>
  <c r="D16" i="9" s="1"/>
  <c r="D19" i="9" s="1"/>
  <c r="D22" i="9" s="1"/>
  <c r="D25" i="9" s="1"/>
  <c r="D28" i="9" s="1"/>
  <c r="D31" i="9" s="1"/>
  <c r="D34" i="9" s="1"/>
  <c r="D37" i="9" s="1"/>
  <c r="D40" i="9" s="1"/>
  <c r="D43" i="9" s="1"/>
  <c r="D46" i="9" s="1"/>
  <c r="D49" i="9" s="1"/>
  <c r="D52" i="9" s="1"/>
  <c r="D55" i="9" s="1"/>
  <c r="D58" i="9" s="1"/>
  <c r="D61" i="9" s="1"/>
  <c r="D64" i="9" s="1"/>
  <c r="D67" i="9" s="1"/>
  <c r="D6" i="9"/>
  <c r="D9" i="9" s="1"/>
  <c r="D12" i="9" s="1"/>
  <c r="D15" i="9" s="1"/>
  <c r="D18" i="9" s="1"/>
  <c r="D21" i="9" s="1"/>
  <c r="D24" i="9" s="1"/>
  <c r="D27" i="9" s="1"/>
  <c r="D30" i="9" s="1"/>
  <c r="D33" i="9" s="1"/>
  <c r="D36" i="9" s="1"/>
  <c r="D39" i="9" s="1"/>
  <c r="D42" i="9" s="1"/>
  <c r="D45" i="9" s="1"/>
  <c r="D48" i="9" s="1"/>
  <c r="D51" i="9" s="1"/>
  <c r="D54" i="9" s="1"/>
  <c r="D57" i="9" s="1"/>
  <c r="D60" i="9" s="1"/>
  <c r="D63" i="9" s="1"/>
  <c r="D66" i="9" s="1"/>
  <c r="D5" i="9"/>
  <c r="D8" i="9" s="1"/>
  <c r="D11" i="9" s="1"/>
  <c r="D14" i="9" s="1"/>
  <c r="D17" i="9" s="1"/>
  <c r="D20" i="9" s="1"/>
  <c r="D23" i="9" s="1"/>
  <c r="D26" i="9" s="1"/>
  <c r="D29" i="9" s="1"/>
  <c r="D32" i="9" s="1"/>
  <c r="D35" i="9" s="1"/>
  <c r="D38" i="9" s="1"/>
  <c r="D41" i="9" s="1"/>
  <c r="D44" i="9" s="1"/>
  <c r="D47" i="9" s="1"/>
  <c r="D50" i="9" s="1"/>
  <c r="D53" i="9" s="1"/>
  <c r="D56" i="9" s="1"/>
  <c r="D59" i="9" s="1"/>
  <c r="D62" i="9" s="1"/>
  <c r="D65" i="9" s="1"/>
  <c r="E9" i="8"/>
  <c r="E8" i="8"/>
  <c r="E7" i="8"/>
  <c r="G7" i="2" l="1"/>
  <c r="C11" i="8"/>
  <c r="E15" i="8"/>
  <c r="E17" i="8"/>
  <c r="C15" i="8"/>
  <c r="E16" i="8"/>
  <c r="E11" i="8"/>
  <c r="E13" i="8"/>
  <c r="E12" i="8"/>
  <c r="H16" i="8" l="1"/>
  <c r="I9" i="7"/>
  <c r="L15" i="8"/>
  <c r="D17" i="8" l="1"/>
  <c r="D16" i="8"/>
  <c r="D15" i="8"/>
  <c r="C17" i="8"/>
  <c r="C16" i="8"/>
  <c r="D13" i="8"/>
  <c r="D12" i="8"/>
  <c r="D11" i="8"/>
  <c r="C13" i="8"/>
  <c r="C12" i="8"/>
  <c r="D8" i="7"/>
  <c r="C8" i="7"/>
  <c r="H17" i="8"/>
  <c r="H12" i="8"/>
  <c r="H11" i="8"/>
  <c r="D9" i="8"/>
  <c r="D8" i="8"/>
  <c r="C2" i="8"/>
  <c r="C9" i="8"/>
  <c r="C8" i="8"/>
  <c r="D7" i="8"/>
  <c r="C7" i="8"/>
  <c r="D47" i="7" l="1"/>
  <c r="C47" i="7"/>
  <c r="D14" i="7"/>
  <c r="C14" i="7"/>
  <c r="G12" i="8"/>
  <c r="G13" i="8"/>
  <c r="G17" i="8"/>
  <c r="H13" i="8"/>
  <c r="F13" i="8"/>
  <c r="F17" i="8"/>
  <c r="G15" i="8"/>
  <c r="G11" i="8"/>
  <c r="H15" i="8"/>
  <c r="F15" i="8"/>
  <c r="F11" i="8"/>
  <c r="G16" i="8"/>
  <c r="F12" i="8"/>
  <c r="F16" i="8"/>
  <c r="C251" i="7" l="1"/>
  <c r="C100" i="7"/>
  <c r="D251" i="7"/>
  <c r="D100" i="7"/>
  <c r="C54" i="7"/>
  <c r="D138" i="7"/>
  <c r="C138" i="7"/>
  <c r="B25" i="8"/>
  <c r="B29" i="8" s="1"/>
  <c r="B26" i="8"/>
  <c r="B30" i="8" s="1"/>
  <c r="B24" i="8"/>
  <c r="B28" i="8" s="1"/>
  <c r="E8" i="7"/>
  <c r="B6" i="4"/>
  <c r="C7" i="3"/>
  <c r="C35" i="4"/>
  <c r="D7" i="7" s="1"/>
  <c r="B35" i="4"/>
  <c r="C7" i="7" s="1"/>
  <c r="D35" i="4"/>
  <c r="E14" i="7" l="1"/>
  <c r="D13" i="7"/>
  <c r="C46" i="7"/>
  <c r="C99" i="7" s="1"/>
  <c r="E47" i="7"/>
  <c r="E3" i="8"/>
  <c r="D3" i="8"/>
  <c r="C4" i="8"/>
  <c r="E4" i="8"/>
  <c r="E2" i="8"/>
  <c r="D4" i="8"/>
  <c r="D2" i="8"/>
  <c r="C3" i="8"/>
  <c r="L16" i="8"/>
  <c r="D54" i="7"/>
  <c r="C13" i="7"/>
  <c r="E5" i="4"/>
  <c r="E7" i="7"/>
  <c r="E35" i="4"/>
  <c r="B7" i="3" s="1"/>
  <c r="D7" i="3" s="1"/>
  <c r="E7" i="3" s="1"/>
  <c r="E251" i="7" l="1"/>
  <c r="E100" i="7"/>
  <c r="C53" i="7"/>
  <c r="C250" i="7"/>
  <c r="E25" i="8"/>
  <c r="E29" i="8"/>
  <c r="E21" i="8"/>
  <c r="D29" i="8"/>
  <c r="D25" i="8"/>
  <c r="D21" i="8"/>
  <c r="C29" i="8"/>
  <c r="C25" i="8"/>
  <c r="C21" i="8"/>
  <c r="E54" i="7"/>
  <c r="E13" i="7"/>
  <c r="E46" i="7"/>
  <c r="E250" i="7" l="1"/>
  <c r="E99" i="7"/>
  <c r="C137" i="7"/>
  <c r="E138" i="7"/>
  <c r="E53" i="7"/>
  <c r="H25" i="8"/>
  <c r="F29" i="8"/>
  <c r="F25" i="8"/>
  <c r="G25" i="8"/>
  <c r="G29" i="8"/>
  <c r="H29" i="8"/>
  <c r="D14" i="4"/>
  <c r="E3" i="7" s="1"/>
  <c r="B10" i="4"/>
  <c r="G7" i="6"/>
  <c r="I7" i="6" s="1"/>
  <c r="G6" i="6"/>
  <c r="I6" i="6" s="1"/>
  <c r="G5" i="6"/>
  <c r="I5" i="6" s="1"/>
  <c r="G4" i="6"/>
  <c r="I4" i="6" s="1"/>
  <c r="H7" i="6"/>
  <c r="H6" i="6"/>
  <c r="H5" i="6"/>
  <c r="H4" i="6"/>
  <c r="H3" i="6"/>
  <c r="H8" i="6" s="1"/>
  <c r="G3" i="6"/>
  <c r="I3" i="6" s="1"/>
  <c r="I8" i="6" l="1"/>
  <c r="G8" i="6"/>
  <c r="E137" i="7"/>
  <c r="G4" i="2"/>
  <c r="D192" i="7" l="1"/>
  <c r="D2" i="2"/>
  <c r="G6" i="2"/>
  <c r="G3" i="2"/>
  <c r="G5" i="2"/>
  <c r="D105" i="7" l="1"/>
  <c r="D178" i="7"/>
  <c r="C105" i="7"/>
  <c r="C178" i="7"/>
  <c r="C185" i="7"/>
  <c r="C143" i="7"/>
  <c r="C164" i="7"/>
  <c r="C134" i="7"/>
  <c r="C120" i="7"/>
  <c r="C171" i="7"/>
  <c r="C199" i="7"/>
  <c r="C213" i="7"/>
  <c r="C113" i="7"/>
  <c r="C150" i="7"/>
  <c r="C157" i="7"/>
  <c r="C206" i="7"/>
  <c r="C127" i="7"/>
  <c r="C220" i="7"/>
  <c r="C192" i="7"/>
  <c r="C227" i="7"/>
  <c r="D113" i="7"/>
  <c r="D150" i="7"/>
  <c r="D199" i="7"/>
  <c r="D220" i="7"/>
  <c r="D157" i="7"/>
  <c r="D227" i="7"/>
  <c r="D164" i="7"/>
  <c r="D206" i="7"/>
  <c r="D213" i="7"/>
  <c r="D185" i="7"/>
  <c r="D171" i="7"/>
  <c r="D127" i="7"/>
  <c r="D143" i="7"/>
  <c r="D134" i="7"/>
  <c r="D120" i="7"/>
  <c r="D4" i="2"/>
  <c r="D5" i="2"/>
  <c r="D6" i="2"/>
  <c r="D3" i="2"/>
  <c r="C177" i="7" l="1"/>
  <c r="C104" i="7"/>
  <c r="C184" i="7"/>
  <c r="C112" i="7"/>
  <c r="C119" i="7"/>
  <c r="C170" i="7"/>
  <c r="C149" i="7"/>
  <c r="C205" i="7"/>
  <c r="C198" i="7"/>
  <c r="C163" i="7"/>
  <c r="C219" i="7"/>
  <c r="C142" i="7"/>
  <c r="C191" i="7"/>
  <c r="C156" i="7"/>
  <c r="C133" i="7"/>
  <c r="C126" i="7"/>
  <c r="C212" i="7"/>
  <c r="C226" i="7"/>
  <c r="B5" i="6"/>
  <c r="D18" i="4"/>
  <c r="C7" i="6"/>
  <c r="B7" i="6"/>
  <c r="D7" i="6" s="1"/>
  <c r="J7" i="6" s="1"/>
  <c r="C6" i="6"/>
  <c r="B6" i="6"/>
  <c r="D6" i="6" s="1"/>
  <c r="J6" i="6" s="1"/>
  <c r="C5" i="6"/>
  <c r="C4" i="6"/>
  <c r="B4" i="6"/>
  <c r="C3" i="6"/>
  <c r="B3" i="6"/>
  <c r="C6" i="3"/>
  <c r="C5" i="3"/>
  <c r="C4" i="3"/>
  <c r="C3" i="3"/>
  <c r="C2" i="3"/>
  <c r="D3" i="6" l="1"/>
  <c r="J3" i="6"/>
  <c r="E4" i="7"/>
  <c r="D5" i="6"/>
  <c r="J5" i="6" s="1"/>
  <c r="D4" i="6"/>
  <c r="J4" i="6" s="1"/>
  <c r="D8" i="6" l="1"/>
  <c r="J8" i="6" s="1"/>
  <c r="D8" i="2"/>
  <c r="E2" i="2" s="1"/>
  <c r="F2" i="2" s="1"/>
  <c r="I13" i="4"/>
  <c r="D19" i="4" s="1"/>
  <c r="F26" i="9" s="1"/>
  <c r="F27" i="9" s="1"/>
  <c r="F28" i="9" s="1"/>
  <c r="I12" i="4"/>
  <c r="I11" i="4"/>
  <c r="B11" i="4" s="1"/>
  <c r="D6" i="4"/>
  <c r="C6" i="4"/>
  <c r="F2" i="9" l="1"/>
  <c r="F3" i="9" s="1"/>
  <c r="F4" i="9" s="1"/>
  <c r="B42" i="4"/>
  <c r="E6" i="4"/>
  <c r="D16" i="4"/>
  <c r="C14" i="4"/>
  <c r="D3" i="7" s="1"/>
  <c r="E3" i="2"/>
  <c r="E6" i="2"/>
  <c r="F6" i="2" s="1"/>
  <c r="E5" i="2"/>
  <c r="F5" i="2" s="1"/>
  <c r="E4" i="2"/>
  <c r="F4" i="2" s="1"/>
  <c r="C10" i="4"/>
  <c r="D2" i="7" s="1"/>
  <c r="C2" i="7"/>
  <c r="E3" i="4"/>
  <c r="E2" i="4"/>
  <c r="E19" i="4"/>
  <c r="E18" i="4"/>
  <c r="B4" i="2" s="1"/>
  <c r="D20" i="4"/>
  <c r="D25" i="4"/>
  <c r="D53" i="4" s="1"/>
  <c r="C25" i="4"/>
  <c r="C53" i="4" s="1"/>
  <c r="E20" i="4" l="1"/>
  <c r="F29" i="9"/>
  <c r="F30" i="9" s="1"/>
  <c r="F31" i="9" s="1"/>
  <c r="D43" i="4"/>
  <c r="F23" i="9"/>
  <c r="F24" i="9" s="1"/>
  <c r="F25" i="9" s="1"/>
  <c r="B25" i="4"/>
  <c r="D29" i="4"/>
  <c r="D52" i="4" s="1"/>
  <c r="E6" i="7"/>
  <c r="C29" i="4"/>
  <c r="D6" i="7"/>
  <c r="D15" i="4"/>
  <c r="E14" i="4"/>
  <c r="B3" i="2" s="1"/>
  <c r="C15" i="4"/>
  <c r="F14" i="9" s="1"/>
  <c r="F15" i="9" s="1"/>
  <c r="F16" i="9" s="1"/>
  <c r="F3" i="2"/>
  <c r="C16" i="4"/>
  <c r="C12" i="4"/>
  <c r="F11" i="9" s="1"/>
  <c r="F12" i="9" s="1"/>
  <c r="F13" i="9" s="1"/>
  <c r="C11" i="4"/>
  <c r="F5" i="9" s="1"/>
  <c r="F6" i="9" s="1"/>
  <c r="F7" i="9" s="1"/>
  <c r="B12" i="4"/>
  <c r="F8" i="9" s="1"/>
  <c r="F9" i="9" s="1"/>
  <c r="F10" i="9" s="1"/>
  <c r="E10" i="4"/>
  <c r="D26" i="4"/>
  <c r="F56" i="9" s="1"/>
  <c r="F57" i="9" s="1"/>
  <c r="F58" i="9" s="1"/>
  <c r="D27" i="4"/>
  <c r="F65" i="9" s="1"/>
  <c r="F66" i="9" s="1"/>
  <c r="F67" i="9" s="1"/>
  <c r="C26" i="4"/>
  <c r="F53" i="9" s="1"/>
  <c r="F54" i="9" s="1"/>
  <c r="F55" i="9" s="1"/>
  <c r="C27" i="4"/>
  <c r="F62" i="9" s="1"/>
  <c r="F63" i="9" s="1"/>
  <c r="F64" i="9" s="1"/>
  <c r="B27" i="4" l="1"/>
  <c r="F59" i="9" s="1"/>
  <c r="F60" i="9" s="1"/>
  <c r="F61" i="9" s="1"/>
  <c r="B53" i="4"/>
  <c r="C31" i="4"/>
  <c r="F44" i="9" s="1"/>
  <c r="F45" i="9" s="1"/>
  <c r="F46" i="9" s="1"/>
  <c r="C52" i="4"/>
  <c r="D23" i="4"/>
  <c r="F17" i="9"/>
  <c r="F18" i="9" s="1"/>
  <c r="F19" i="9" s="1"/>
  <c r="E16" i="4"/>
  <c r="F20" i="9"/>
  <c r="F21" i="9" s="1"/>
  <c r="F22" i="9" s="1"/>
  <c r="E25" i="4"/>
  <c r="B6" i="2" s="1"/>
  <c r="B26" i="4"/>
  <c r="B29" i="4"/>
  <c r="B52" i="4" s="1"/>
  <c r="C6" i="7"/>
  <c r="D5" i="7"/>
  <c r="C30" i="4"/>
  <c r="D42" i="4"/>
  <c r="D30" i="4"/>
  <c r="E5" i="7"/>
  <c r="D31" i="4"/>
  <c r="E15" i="4"/>
  <c r="C42" i="4"/>
  <c r="C23" i="4"/>
  <c r="C43" i="4"/>
  <c r="B2" i="2"/>
  <c r="B23" i="4"/>
  <c r="E12" i="4"/>
  <c r="B43" i="4"/>
  <c r="E11" i="4"/>
  <c r="C45" i="4"/>
  <c r="E27" i="4" l="1"/>
  <c r="G27" i="4" s="1"/>
  <c r="E26" i="4"/>
  <c r="F50" i="9"/>
  <c r="F51" i="9" s="1"/>
  <c r="F52" i="9" s="1"/>
  <c r="D44" i="4"/>
  <c r="F38" i="9"/>
  <c r="F39" i="9" s="1"/>
  <c r="F40" i="9" s="1"/>
  <c r="C44" i="4"/>
  <c r="C46" i="4" s="1"/>
  <c r="F35" i="9"/>
  <c r="F36" i="9" s="1"/>
  <c r="F37" i="9" s="1"/>
  <c r="E42" i="4"/>
  <c r="D45" i="4"/>
  <c r="D46" i="4" s="1"/>
  <c r="F47" i="9"/>
  <c r="F48" i="9" s="1"/>
  <c r="F49" i="9" s="1"/>
  <c r="D12" i="7"/>
  <c r="D11" i="7"/>
  <c r="E11" i="7"/>
  <c r="E12" i="7"/>
  <c r="D10" i="7"/>
  <c r="E29" i="4"/>
  <c r="B5" i="2" s="1"/>
  <c r="B8" i="2" s="1"/>
  <c r="C2" i="2" s="1"/>
  <c r="H2" i="2" s="1"/>
  <c r="B31" i="4"/>
  <c r="B30" i="4"/>
  <c r="F32" i="9" s="1"/>
  <c r="F33" i="9" s="1"/>
  <c r="F34" i="9" s="1"/>
  <c r="C5" i="7"/>
  <c r="C16" i="7" s="1"/>
  <c r="C33" i="4"/>
  <c r="E31" i="4"/>
  <c r="D33" i="4"/>
  <c r="E10" i="7"/>
  <c r="E16" i="7" s="1"/>
  <c r="E43" i="4"/>
  <c r="E23" i="4"/>
  <c r="C11" i="7" l="1"/>
  <c r="C17" i="7" s="1"/>
  <c r="E17" i="7"/>
  <c r="D18" i="7"/>
  <c r="D16" i="7"/>
  <c r="E18" i="7"/>
  <c r="D17" i="7"/>
  <c r="B45" i="4"/>
  <c r="E45" i="4" s="1"/>
  <c r="F41" i="9"/>
  <c r="F42" i="9" s="1"/>
  <c r="F43" i="9" s="1"/>
  <c r="C12" i="7"/>
  <c r="B33" i="4"/>
  <c r="E33" i="4" s="1"/>
  <c r="B44" i="4"/>
  <c r="E30" i="4"/>
  <c r="C5" i="2"/>
  <c r="H5" i="2" s="1"/>
  <c r="C6" i="2"/>
  <c r="H6" i="2" s="1"/>
  <c r="C3" i="2"/>
  <c r="H3" i="2" s="1"/>
  <c r="C4" i="2"/>
  <c r="H4" i="2" s="1"/>
  <c r="C18" i="7" l="1"/>
  <c r="B46" i="4"/>
  <c r="E46" i="4" s="1"/>
  <c r="E49" i="4" s="1"/>
  <c r="E44" i="4"/>
  <c r="H8" i="2"/>
  <c r="D46" i="7" s="1"/>
  <c r="D250" i="7" l="1"/>
  <c r="D99" i="7"/>
  <c r="D53" i="7"/>
  <c r="E6" i="6"/>
  <c r="L6" i="6" s="1"/>
  <c r="M6" i="6" s="1"/>
  <c r="F44" i="4"/>
  <c r="F42" i="4"/>
  <c r="F45" i="4"/>
  <c r="F43" i="4"/>
  <c r="D137" i="7" l="1"/>
  <c r="G30" i="4"/>
  <c r="B5" i="3"/>
  <c r="D5" i="3" s="1"/>
  <c r="E5" i="3" s="1"/>
  <c r="B6" i="3"/>
  <c r="D6" i="3" s="1"/>
  <c r="E6" i="3" s="1"/>
  <c r="B2" i="3"/>
  <c r="D2" i="3" s="1"/>
  <c r="E2" i="3" s="1"/>
  <c r="B3" i="3"/>
  <c r="D3" i="3" s="1"/>
  <c r="E3" i="3" s="1"/>
  <c r="B4" i="3"/>
  <c r="D4" i="3" s="1"/>
  <c r="E4" i="3" s="1"/>
  <c r="E4" i="6"/>
  <c r="L4" i="6" s="1"/>
  <c r="M4" i="6" s="1"/>
  <c r="G29" i="4"/>
  <c r="E3" i="6"/>
  <c r="E5" i="6"/>
  <c r="L5" i="6" s="1"/>
  <c r="M5" i="6" s="1"/>
  <c r="E7" i="6"/>
  <c r="L7" i="6" s="1"/>
  <c r="M7" i="6" s="1"/>
  <c r="G26" i="4"/>
  <c r="E8" i="6" l="1"/>
  <c r="L3" i="6"/>
  <c r="L8" i="6" l="1"/>
  <c r="M8" i="6" s="1"/>
  <c r="M3" i="6"/>
  <c r="E162" i="7"/>
  <c r="E148" i="7"/>
  <c r="E111" i="7"/>
  <c r="E141" i="7"/>
  <c r="E204" i="7"/>
  <c r="E125" i="7"/>
  <c r="E118" i="7"/>
  <c r="E132" i="7"/>
  <c r="E225" i="7"/>
  <c r="E211" i="7"/>
  <c r="E169" i="7"/>
  <c r="E155" i="7"/>
  <c r="E197" i="7"/>
  <c r="E218" i="7"/>
  <c r="C28" i="8" l="1"/>
  <c r="E28" i="8"/>
  <c r="E24" i="8"/>
  <c r="C20" i="8"/>
  <c r="C22" i="8" s="1"/>
  <c r="C20" i="7" s="1"/>
  <c r="C22" i="7" s="1"/>
  <c r="D20" i="8"/>
  <c r="D22" i="8" s="1"/>
  <c r="D20" i="7" s="1"/>
  <c r="D22" i="7" s="1"/>
  <c r="D24" i="8"/>
  <c r="E20" i="8"/>
  <c r="E22" i="8" s="1"/>
  <c r="E20" i="7" s="1"/>
  <c r="E22" i="7" s="1"/>
  <c r="D28" i="8"/>
  <c r="C24" i="8"/>
  <c r="D23" i="7" l="1"/>
  <c r="D276" i="7"/>
  <c r="D24" i="7"/>
  <c r="C276" i="7"/>
  <c r="C23" i="7"/>
  <c r="C24" i="7"/>
  <c r="D30" i="8"/>
  <c r="G28" i="8"/>
  <c r="G24" i="8"/>
  <c r="D26" i="8"/>
  <c r="F28" i="8"/>
  <c r="C30" i="8"/>
  <c r="F24" i="8"/>
  <c r="C26" i="8"/>
  <c r="E276" i="7"/>
  <c r="E24" i="7"/>
  <c r="E23" i="7"/>
  <c r="H24" i="8"/>
  <c r="E26" i="8"/>
  <c r="H28" i="8"/>
  <c r="E30" i="8"/>
  <c r="D62" i="7" l="1"/>
  <c r="G26" i="8"/>
  <c r="G30" i="8"/>
  <c r="D80" i="7"/>
  <c r="E80" i="7"/>
  <c r="H30" i="8"/>
  <c r="C62" i="7"/>
  <c r="F26" i="8"/>
  <c r="C80" i="7"/>
  <c r="F30" i="8"/>
  <c r="H26" i="8"/>
  <c r="E62" i="7"/>
  <c r="E274" i="7" l="1"/>
  <c r="C274" i="7"/>
  <c r="D274" i="7"/>
  <c r="C28" i="7" l="1"/>
  <c r="E30" i="7"/>
  <c r="E96" i="7" s="1"/>
  <c r="D28" i="7" l="1"/>
  <c r="E199" i="7"/>
  <c r="E171" i="7"/>
  <c r="E113" i="7"/>
  <c r="E120" i="7"/>
  <c r="E227" i="7"/>
  <c r="E213" i="7"/>
  <c r="E192" i="7"/>
  <c r="E185" i="7"/>
  <c r="E164" i="7"/>
  <c r="E150" i="7"/>
  <c r="E220" i="7"/>
  <c r="E143" i="7"/>
  <c r="E127" i="7"/>
  <c r="E157" i="7"/>
  <c r="E134" i="7"/>
  <c r="E178" i="7"/>
  <c r="E105" i="7"/>
  <c r="E206" i="7"/>
  <c r="D31" i="7"/>
  <c r="D97" i="7" s="1"/>
  <c r="C94" i="7"/>
  <c r="C31" i="7" l="1"/>
  <c r="C148" i="7"/>
  <c r="C204" i="7"/>
  <c r="C103" i="7"/>
  <c r="C155" i="7"/>
  <c r="C111" i="7"/>
  <c r="C218" i="7"/>
  <c r="C176" i="7"/>
  <c r="C197" i="7"/>
  <c r="C118" i="7"/>
  <c r="C141" i="7"/>
  <c r="C190" i="7"/>
  <c r="C211" i="7"/>
  <c r="C183" i="7"/>
  <c r="C162" i="7"/>
  <c r="C132" i="7"/>
  <c r="C125" i="7"/>
  <c r="C225" i="7"/>
  <c r="C169" i="7"/>
  <c r="D221" i="7"/>
  <c r="D106" i="7"/>
  <c r="D165" i="7"/>
  <c r="D172" i="7"/>
  <c r="D114" i="7"/>
  <c r="D158" i="7"/>
  <c r="D121" i="7"/>
  <c r="D186" i="7"/>
  <c r="D214" i="7"/>
  <c r="D179" i="7"/>
  <c r="D193" i="7"/>
  <c r="D144" i="7"/>
  <c r="D135" i="7"/>
  <c r="D128" i="7"/>
  <c r="D207" i="7"/>
  <c r="D151" i="7"/>
  <c r="D228" i="7"/>
  <c r="D200" i="7"/>
  <c r="D29" i="7"/>
  <c r="D95" i="7" s="1"/>
  <c r="D94" i="7"/>
  <c r="E31" i="7" l="1"/>
  <c r="E97" i="7" s="1"/>
  <c r="D197" i="7"/>
  <c r="D162" i="7"/>
  <c r="D204" i="7"/>
  <c r="D111" i="7"/>
  <c r="D211" i="7"/>
  <c r="D148" i="7"/>
  <c r="D176" i="7"/>
  <c r="D118" i="7"/>
  <c r="D103" i="7"/>
  <c r="D183" i="7"/>
  <c r="D132" i="7"/>
  <c r="D141" i="7"/>
  <c r="D125" i="7"/>
  <c r="D218" i="7"/>
  <c r="D155" i="7"/>
  <c r="D225" i="7"/>
  <c r="D190" i="7"/>
  <c r="D169" i="7"/>
  <c r="C97" i="7"/>
  <c r="D212" i="7"/>
  <c r="D170" i="7"/>
  <c r="D126" i="7"/>
  <c r="D198" i="7"/>
  <c r="D184" i="7"/>
  <c r="D149" i="7"/>
  <c r="D104" i="7"/>
  <c r="D177" i="7"/>
  <c r="D191" i="7"/>
  <c r="D133" i="7"/>
  <c r="D219" i="7"/>
  <c r="D205" i="7"/>
  <c r="D142" i="7"/>
  <c r="D119" i="7"/>
  <c r="D226" i="7"/>
  <c r="D156" i="7"/>
  <c r="D112" i="7"/>
  <c r="D163" i="7"/>
  <c r="E179" i="7" l="1"/>
  <c r="E200" i="7"/>
  <c r="E106" i="7"/>
  <c r="E135" i="7"/>
  <c r="E186" i="7"/>
  <c r="E207" i="7"/>
  <c r="E151" i="7"/>
  <c r="E114" i="7"/>
  <c r="E128" i="7"/>
  <c r="E144" i="7"/>
  <c r="E121" i="7"/>
  <c r="E172" i="7"/>
  <c r="E221" i="7"/>
  <c r="E214" i="7"/>
  <c r="E165" i="7"/>
  <c r="E193" i="7"/>
  <c r="E158" i="7"/>
  <c r="E228" i="7"/>
  <c r="E29" i="7"/>
  <c r="C228" i="7"/>
  <c r="C186" i="7"/>
  <c r="C179" i="7"/>
  <c r="C193" i="7"/>
  <c r="C207" i="7"/>
  <c r="C221" i="7"/>
  <c r="C158" i="7"/>
  <c r="C144" i="7"/>
  <c r="C121" i="7"/>
  <c r="C165" i="7"/>
  <c r="C151" i="7"/>
  <c r="C214" i="7"/>
  <c r="C114" i="7"/>
  <c r="C200" i="7"/>
  <c r="C106" i="7"/>
  <c r="C135" i="7"/>
  <c r="C128" i="7"/>
  <c r="C172" i="7"/>
  <c r="E95" i="7" l="1"/>
  <c r="E191" i="7" l="1"/>
  <c r="E219" i="7"/>
  <c r="E133" i="7"/>
  <c r="E149" i="7"/>
  <c r="E126" i="7"/>
  <c r="E177" i="7"/>
  <c r="E142" i="7"/>
  <c r="E119" i="7"/>
  <c r="E112" i="7"/>
  <c r="E156" i="7"/>
  <c r="E212" i="7"/>
  <c r="E163" i="7"/>
  <c r="E170" i="7"/>
  <c r="E184" i="7"/>
  <c r="E198" i="7"/>
  <c r="E104" i="7"/>
  <c r="E226" i="7"/>
  <c r="E205" i="7"/>
  <c r="C32" i="7" l="1"/>
  <c r="D32" i="7" l="1"/>
  <c r="C98" i="7"/>
  <c r="C50" i="7"/>
  <c r="C58" i="7" s="1"/>
  <c r="D98" i="7" l="1"/>
  <c r="D50" i="7"/>
  <c r="D58" i="7" s="1"/>
  <c r="C76" i="7"/>
  <c r="C83" i="7" s="1"/>
  <c r="C87" i="7" s="1"/>
  <c r="C65" i="7"/>
  <c r="C69" i="7" s="1"/>
  <c r="C107" i="7"/>
  <c r="C232" i="7" s="1"/>
  <c r="C254" i="7" s="1"/>
  <c r="C281" i="7" s="1"/>
  <c r="C301" i="7" s="1"/>
  <c r="E11" i="10" s="1"/>
  <c r="F11" i="10" s="1"/>
  <c r="G11" i="10" s="1"/>
  <c r="C222" i="7"/>
  <c r="C248" i="7" s="1"/>
  <c r="C270" i="7" s="1"/>
  <c r="C297" i="7" s="1"/>
  <c r="C317" i="7" s="1"/>
  <c r="C180" i="7"/>
  <c r="C242" i="7" s="1"/>
  <c r="C264" i="7" s="1"/>
  <c r="C291" i="7" s="1"/>
  <c r="C311" i="7" s="1"/>
  <c r="E17" i="10" s="1"/>
  <c r="F17" i="10" s="1"/>
  <c r="G17" i="10" s="1"/>
  <c r="C201" i="7"/>
  <c r="C245" i="7" s="1"/>
  <c r="C267" i="7" s="1"/>
  <c r="C294" i="7" s="1"/>
  <c r="C314" i="7" s="1"/>
  <c r="E26" i="10" s="1"/>
  <c r="F26" i="10" s="1"/>
  <c r="G26" i="10" s="1"/>
  <c r="C159" i="7"/>
  <c r="C239" i="7" s="1"/>
  <c r="C261" i="7" s="1"/>
  <c r="C288" i="7" s="1"/>
  <c r="C308" i="7" s="1"/>
  <c r="C136" i="7"/>
  <c r="C236" i="7" s="1"/>
  <c r="C258" i="7" s="1"/>
  <c r="C285" i="7" s="1"/>
  <c r="C305" i="7" s="1"/>
  <c r="C129" i="7"/>
  <c r="C235" i="7" s="1"/>
  <c r="C257" i="7" s="1"/>
  <c r="C284" i="7" s="1"/>
  <c r="C304" i="7" s="1"/>
  <c r="C229" i="7"/>
  <c r="C249" i="7" s="1"/>
  <c r="C271" i="7" s="1"/>
  <c r="C298" i="7" s="1"/>
  <c r="C318" i="7" s="1"/>
  <c r="C194" i="7"/>
  <c r="C244" i="7" s="1"/>
  <c r="C266" i="7" s="1"/>
  <c r="C293" i="7" s="1"/>
  <c r="C313" i="7" s="1"/>
  <c r="E23" i="10" s="1"/>
  <c r="F23" i="10" s="1"/>
  <c r="G23" i="10" s="1"/>
  <c r="C173" i="7"/>
  <c r="C241" i="7" s="1"/>
  <c r="C263" i="7" s="1"/>
  <c r="C290" i="7" s="1"/>
  <c r="C310" i="7" s="1"/>
  <c r="C215" i="7"/>
  <c r="C247" i="7" s="1"/>
  <c r="C269" i="7" s="1"/>
  <c r="C296" i="7" s="1"/>
  <c r="C316" i="7" s="1"/>
  <c r="E32" i="10" s="1"/>
  <c r="F32" i="10" s="1"/>
  <c r="G32" i="10" s="1"/>
  <c r="C115" i="7"/>
  <c r="C233" i="7" s="1"/>
  <c r="C255" i="7" s="1"/>
  <c r="C282" i="7" s="1"/>
  <c r="C302" i="7" s="1"/>
  <c r="E14" i="10" s="1"/>
  <c r="F14" i="10" s="1"/>
  <c r="G14" i="10" s="1"/>
  <c r="C145" i="7"/>
  <c r="C237" i="7" s="1"/>
  <c r="C259" i="7" s="1"/>
  <c r="C286" i="7" s="1"/>
  <c r="C306" i="7" s="1"/>
  <c r="C122" i="7"/>
  <c r="C234" i="7" s="1"/>
  <c r="C256" i="7" s="1"/>
  <c r="C283" i="7" s="1"/>
  <c r="C303" i="7" s="1"/>
  <c r="C208" i="7"/>
  <c r="C246" i="7" s="1"/>
  <c r="C268" i="7" s="1"/>
  <c r="C295" i="7" s="1"/>
  <c r="C315" i="7" s="1"/>
  <c r="E29" i="10" s="1"/>
  <c r="F29" i="10" s="1"/>
  <c r="G29" i="10" s="1"/>
  <c r="C187" i="7"/>
  <c r="C243" i="7" s="1"/>
  <c r="C265" i="7" s="1"/>
  <c r="C292" i="7" s="1"/>
  <c r="C312" i="7" s="1"/>
  <c r="E20" i="10" s="1"/>
  <c r="F20" i="10" s="1"/>
  <c r="G20" i="10" s="1"/>
  <c r="C152" i="7"/>
  <c r="C238" i="7" s="1"/>
  <c r="C260" i="7" s="1"/>
  <c r="C287" i="7" s="1"/>
  <c r="C307" i="7" s="1"/>
  <c r="C166" i="7"/>
  <c r="C240" i="7" s="1"/>
  <c r="C262" i="7" s="1"/>
  <c r="C289" i="7" s="1"/>
  <c r="C309" i="7" s="1"/>
  <c r="E35" i="10" l="1"/>
  <c r="F35" i="10" s="1"/>
  <c r="G35" i="10" s="1"/>
  <c r="E38" i="10"/>
  <c r="F38" i="10" s="1"/>
  <c r="G38" i="10" s="1"/>
  <c r="E32" i="7"/>
  <c r="O8" i="9"/>
  <c r="R8" i="9" s="1"/>
  <c r="E2" i="10"/>
  <c r="F2" i="10" s="1"/>
  <c r="G2" i="10" s="1"/>
  <c r="D76" i="7"/>
  <c r="D83" i="7" s="1"/>
  <c r="D87" i="7" s="1"/>
  <c r="D65" i="7"/>
  <c r="D69" i="7" s="1"/>
  <c r="E41" i="10"/>
  <c r="F41" i="10" s="1"/>
  <c r="G41" i="10" s="1"/>
  <c r="P8" i="9"/>
  <c r="S8" i="9" s="1"/>
  <c r="D180" i="7"/>
  <c r="D242" i="7" s="1"/>
  <c r="D264" i="7" s="1"/>
  <c r="D291" i="7" s="1"/>
  <c r="D311" i="7" s="1"/>
  <c r="E18" i="10" s="1"/>
  <c r="F18" i="10" s="1"/>
  <c r="G18" i="10" s="1"/>
  <c r="D187" i="7"/>
  <c r="D243" i="7" s="1"/>
  <c r="D265" i="7" s="1"/>
  <c r="D292" i="7" s="1"/>
  <c r="D312" i="7" s="1"/>
  <c r="E21" i="10" s="1"/>
  <c r="F21" i="10" s="1"/>
  <c r="G21" i="10" s="1"/>
  <c r="D107" i="7"/>
  <c r="D232" i="7" s="1"/>
  <c r="D254" i="7" s="1"/>
  <c r="D281" i="7" s="1"/>
  <c r="D301" i="7" s="1"/>
  <c r="E12" i="10" s="1"/>
  <c r="F12" i="10" s="1"/>
  <c r="G12" i="10" s="1"/>
  <c r="D229" i="7"/>
  <c r="D249" i="7" s="1"/>
  <c r="D271" i="7" s="1"/>
  <c r="D298" i="7" s="1"/>
  <c r="D318" i="7" s="1"/>
  <c r="D136" i="7"/>
  <c r="D236" i="7" s="1"/>
  <c r="D258" i="7" s="1"/>
  <c r="D285" i="7" s="1"/>
  <c r="D305" i="7" s="1"/>
  <c r="D115" i="7"/>
  <c r="D233" i="7" s="1"/>
  <c r="D255" i="7" s="1"/>
  <c r="D282" i="7" s="1"/>
  <c r="D302" i="7" s="1"/>
  <c r="E15" i="10" s="1"/>
  <c r="F15" i="10" s="1"/>
  <c r="G15" i="10" s="1"/>
  <c r="D159" i="7"/>
  <c r="D239" i="7" s="1"/>
  <c r="D261" i="7" s="1"/>
  <c r="D288" i="7" s="1"/>
  <c r="D308" i="7" s="1"/>
  <c r="D129" i="7"/>
  <c r="D235" i="7" s="1"/>
  <c r="D257" i="7" s="1"/>
  <c r="D284" i="7" s="1"/>
  <c r="D304" i="7" s="1"/>
  <c r="D152" i="7"/>
  <c r="D238" i="7" s="1"/>
  <c r="D260" i="7" s="1"/>
  <c r="D287" i="7" s="1"/>
  <c r="D307" i="7" s="1"/>
  <c r="D201" i="7"/>
  <c r="D245" i="7" s="1"/>
  <c r="D267" i="7" s="1"/>
  <c r="D294" i="7" s="1"/>
  <c r="D314" i="7" s="1"/>
  <c r="E27" i="10" s="1"/>
  <c r="F27" i="10" s="1"/>
  <c r="G27" i="10" s="1"/>
  <c r="D173" i="7"/>
  <c r="D241" i="7" s="1"/>
  <c r="D263" i="7" s="1"/>
  <c r="D290" i="7" s="1"/>
  <c r="D310" i="7" s="1"/>
  <c r="D122" i="7"/>
  <c r="D234" i="7" s="1"/>
  <c r="D256" i="7" s="1"/>
  <c r="D283" i="7" s="1"/>
  <c r="D303" i="7" s="1"/>
  <c r="D215" i="7"/>
  <c r="D247" i="7" s="1"/>
  <c r="D269" i="7" s="1"/>
  <c r="D296" i="7" s="1"/>
  <c r="D316" i="7" s="1"/>
  <c r="E33" i="10" s="1"/>
  <c r="F33" i="10" s="1"/>
  <c r="G33" i="10" s="1"/>
  <c r="D222" i="7"/>
  <c r="D248" i="7" s="1"/>
  <c r="D270" i="7" s="1"/>
  <c r="D297" i="7" s="1"/>
  <c r="D317" i="7" s="1"/>
  <c r="D145" i="7"/>
  <c r="D237" i="7" s="1"/>
  <c r="D259" i="7" s="1"/>
  <c r="D286" i="7" s="1"/>
  <c r="D306" i="7" s="1"/>
  <c r="D208" i="7"/>
  <c r="D246" i="7" s="1"/>
  <c r="D268" i="7" s="1"/>
  <c r="D295" i="7" s="1"/>
  <c r="D315" i="7" s="1"/>
  <c r="E30" i="10" s="1"/>
  <c r="F30" i="10" s="1"/>
  <c r="G30" i="10" s="1"/>
  <c r="D166" i="7"/>
  <c r="D240" i="7" s="1"/>
  <c r="D262" i="7" s="1"/>
  <c r="D289" i="7" s="1"/>
  <c r="D309" i="7" s="1"/>
  <c r="D194" i="7"/>
  <c r="D244" i="7" s="1"/>
  <c r="D266" i="7" s="1"/>
  <c r="D293" i="7" s="1"/>
  <c r="D313" i="7" s="1"/>
  <c r="E24" i="10" s="1"/>
  <c r="F24" i="10" s="1"/>
  <c r="G24" i="10" s="1"/>
  <c r="P11" i="9" l="1"/>
  <c r="S11" i="9" s="1"/>
  <c r="E42" i="10"/>
  <c r="F42" i="10" s="1"/>
  <c r="G42" i="10" s="1"/>
  <c r="E98" i="7"/>
  <c r="E50" i="7"/>
  <c r="E58" i="7" s="1"/>
  <c r="E39" i="10"/>
  <c r="F39" i="10" s="1"/>
  <c r="G39" i="10" s="1"/>
  <c r="E36" i="10"/>
  <c r="F36" i="10" s="1"/>
  <c r="G36" i="10" s="1"/>
  <c r="O11" i="9"/>
  <c r="R11" i="9" s="1"/>
  <c r="E3" i="10"/>
  <c r="F3" i="10" s="1"/>
  <c r="G3" i="10" s="1"/>
  <c r="E76" i="7" l="1"/>
  <c r="E83" i="7" s="1"/>
  <c r="E87" i="7" s="1"/>
  <c r="E65" i="7"/>
  <c r="E69" i="7" s="1"/>
  <c r="E145" i="7"/>
  <c r="E237" i="7" s="1"/>
  <c r="E259" i="7" s="1"/>
  <c r="E286" i="7" s="1"/>
  <c r="E306" i="7" s="1"/>
  <c r="E129" i="7"/>
  <c r="E235" i="7" s="1"/>
  <c r="E257" i="7" s="1"/>
  <c r="E284" i="7" s="1"/>
  <c r="E304" i="7" s="1"/>
  <c r="E107" i="7"/>
  <c r="E232" i="7" s="1"/>
  <c r="E254" i="7" s="1"/>
  <c r="E281" i="7" s="1"/>
  <c r="E301" i="7" s="1"/>
  <c r="E222" i="7"/>
  <c r="E248" i="7" s="1"/>
  <c r="E270" i="7" s="1"/>
  <c r="E297" i="7" s="1"/>
  <c r="E317" i="7" s="1"/>
  <c r="E122" i="7"/>
  <c r="E234" i="7" s="1"/>
  <c r="E256" i="7" s="1"/>
  <c r="E283" i="7" s="1"/>
  <c r="E303" i="7" s="1"/>
  <c r="E194" i="7"/>
  <c r="E244" i="7" s="1"/>
  <c r="E266" i="7" s="1"/>
  <c r="E293" i="7" s="1"/>
  <c r="E313" i="7" s="1"/>
  <c r="E25" i="10" s="1"/>
  <c r="F25" i="10" s="1"/>
  <c r="G25" i="10" s="1"/>
  <c r="E115" i="7"/>
  <c r="E233" i="7" s="1"/>
  <c r="E255" i="7" s="1"/>
  <c r="E282" i="7" s="1"/>
  <c r="E302" i="7" s="1"/>
  <c r="E215" i="7"/>
  <c r="E247" i="7" s="1"/>
  <c r="E269" i="7" s="1"/>
  <c r="E296" i="7" s="1"/>
  <c r="E316" i="7" s="1"/>
  <c r="E34" i="10" s="1"/>
  <c r="F34" i="10" s="1"/>
  <c r="G34" i="10" s="1"/>
  <c r="E208" i="7"/>
  <c r="E246" i="7" s="1"/>
  <c r="E268" i="7" s="1"/>
  <c r="E295" i="7" s="1"/>
  <c r="E315" i="7" s="1"/>
  <c r="E31" i="10" s="1"/>
  <c r="F31" i="10" s="1"/>
  <c r="G31" i="10" s="1"/>
  <c r="E180" i="7"/>
  <c r="E242" i="7" s="1"/>
  <c r="E264" i="7" s="1"/>
  <c r="E291" i="7" s="1"/>
  <c r="E311" i="7" s="1"/>
  <c r="E19" i="10" s="1"/>
  <c r="F19" i="10" s="1"/>
  <c r="G19" i="10" s="1"/>
  <c r="E136" i="7"/>
  <c r="E236" i="7" s="1"/>
  <c r="E258" i="7" s="1"/>
  <c r="E285" i="7" s="1"/>
  <c r="E305" i="7" s="1"/>
  <c r="E152" i="7"/>
  <c r="E238" i="7" s="1"/>
  <c r="E260" i="7" s="1"/>
  <c r="E287" i="7" s="1"/>
  <c r="E307" i="7" s="1"/>
  <c r="E173" i="7"/>
  <c r="E241" i="7" s="1"/>
  <c r="E263" i="7" s="1"/>
  <c r="E290" i="7" s="1"/>
  <c r="E310" i="7" s="1"/>
  <c r="E187" i="7"/>
  <c r="E243" i="7" s="1"/>
  <c r="E265" i="7" s="1"/>
  <c r="E292" i="7" s="1"/>
  <c r="E312" i="7" s="1"/>
  <c r="E22" i="10" s="1"/>
  <c r="F22" i="10" s="1"/>
  <c r="G22" i="10" s="1"/>
  <c r="E201" i="7"/>
  <c r="E245" i="7" s="1"/>
  <c r="E267" i="7" s="1"/>
  <c r="E294" i="7" s="1"/>
  <c r="E314" i="7" s="1"/>
  <c r="E28" i="10" s="1"/>
  <c r="F28" i="10" s="1"/>
  <c r="G28" i="10" s="1"/>
  <c r="E229" i="7"/>
  <c r="E249" i="7" s="1"/>
  <c r="E271" i="7" s="1"/>
  <c r="E298" i="7" s="1"/>
  <c r="E318" i="7" s="1"/>
  <c r="E166" i="7"/>
  <c r="E240" i="7" s="1"/>
  <c r="E262" i="7" s="1"/>
  <c r="E289" i="7" s="1"/>
  <c r="E309" i="7" s="1"/>
  <c r="E159" i="7"/>
  <c r="E239" i="7" s="1"/>
  <c r="E261" i="7" s="1"/>
  <c r="E288" i="7" s="1"/>
  <c r="E308" i="7" s="1"/>
  <c r="E16" i="10" l="1"/>
  <c r="F16" i="10" s="1"/>
  <c r="G16" i="10" s="1"/>
  <c r="E13" i="10"/>
  <c r="F13" i="10" s="1"/>
  <c r="G13" i="10" s="1"/>
  <c r="E37" i="10"/>
  <c r="F37" i="10" s="1"/>
  <c r="G37" i="10" s="1"/>
  <c r="E40" i="10"/>
  <c r="F40" i="10" s="1"/>
  <c r="G40" i="10" s="1"/>
  <c r="O14" i="9"/>
  <c r="R14" i="9" s="1"/>
  <c r="E4" i="10"/>
  <c r="F4" i="10" s="1"/>
  <c r="G4" i="10" s="1"/>
  <c r="E43" i="10"/>
  <c r="F43" i="10" s="1"/>
  <c r="G43" i="10" s="1"/>
  <c r="P14" i="9"/>
  <c r="S14" i="9" s="1"/>
  <c r="D37" i="7" l="1"/>
  <c r="C40" i="7"/>
  <c r="E36" i="7"/>
  <c r="D38" i="7" l="1"/>
  <c r="D43" i="7"/>
  <c r="D44" i="7"/>
  <c r="E41" i="7"/>
  <c r="C34" i="7"/>
  <c r="D35" i="7"/>
  <c r="D34" i="7"/>
  <c r="C44" i="7"/>
  <c r="E35" i="7"/>
  <c r="E51" i="7" s="1"/>
  <c r="E59" i="7" s="1"/>
  <c r="E42" i="7"/>
  <c r="E38" i="7"/>
  <c r="E37" i="7"/>
  <c r="C37" i="7"/>
  <c r="D41" i="7"/>
  <c r="E43" i="7"/>
  <c r="E44" i="7"/>
  <c r="D40" i="7"/>
  <c r="D52" i="7" s="1"/>
  <c r="D60" i="7" s="1"/>
  <c r="C38" i="7"/>
  <c r="C43" i="7"/>
  <c r="C52" i="7" s="1"/>
  <c r="C60" i="7" s="1"/>
  <c r="C78" i="7" l="1"/>
  <c r="C85" i="7" s="1"/>
  <c r="C89" i="7" s="1"/>
  <c r="C67" i="7"/>
  <c r="C71" i="7" s="1"/>
  <c r="E52" i="7"/>
  <c r="E60" i="7" s="1"/>
  <c r="D51" i="7"/>
  <c r="D59" i="7" s="1"/>
  <c r="E77" i="7"/>
  <c r="E84" i="7" s="1"/>
  <c r="E88" i="7" s="1"/>
  <c r="E66" i="7"/>
  <c r="E70" i="7" s="1"/>
  <c r="D78" i="7"/>
  <c r="D85" i="7" s="1"/>
  <c r="D89" i="7" s="1"/>
  <c r="D67" i="7"/>
  <c r="D71" i="7" s="1"/>
  <c r="C51" i="7"/>
  <c r="C59" i="7" s="1"/>
  <c r="D77" i="7" l="1"/>
  <c r="D84" i="7" s="1"/>
  <c r="D88" i="7" s="1"/>
  <c r="D66" i="7"/>
  <c r="D70" i="7" s="1"/>
  <c r="O12" i="9"/>
  <c r="R12" i="9" s="1"/>
  <c r="E9" i="10"/>
  <c r="F9" i="10" s="1"/>
  <c r="G9" i="10" s="1"/>
  <c r="E46" i="10"/>
  <c r="F46" i="10" s="1"/>
  <c r="G46" i="10" s="1"/>
  <c r="P13" i="9"/>
  <c r="S13" i="9" s="1"/>
  <c r="E7" i="10"/>
  <c r="F7" i="10" s="1"/>
  <c r="G7" i="10" s="1"/>
  <c r="O13" i="9"/>
  <c r="R13" i="9" s="1"/>
  <c r="P12" i="9"/>
  <c r="S12" i="9" s="1"/>
  <c r="E48" i="10"/>
  <c r="F48" i="10" s="1"/>
  <c r="G48" i="10" s="1"/>
  <c r="C77" i="7"/>
  <c r="C84" i="7" s="1"/>
  <c r="C88" i="7" s="1"/>
  <c r="C66" i="7"/>
  <c r="C70" i="7" s="1"/>
  <c r="O9" i="9"/>
  <c r="R9" i="9" s="1"/>
  <c r="E8" i="10"/>
  <c r="F8" i="10" s="1"/>
  <c r="G8" i="10" s="1"/>
  <c r="E78" i="7"/>
  <c r="E85" i="7" s="1"/>
  <c r="E89" i="7" s="1"/>
  <c r="E67" i="7"/>
  <c r="E71" i="7" s="1"/>
  <c r="E47" i="10"/>
  <c r="F47" i="10" s="1"/>
  <c r="G47" i="10" s="1"/>
  <c r="P9" i="9"/>
  <c r="S9" i="9" s="1"/>
  <c r="E10" i="10" l="1"/>
  <c r="F10" i="10" s="1"/>
  <c r="G10" i="10" s="1"/>
  <c r="O15" i="9"/>
  <c r="R15" i="9" s="1"/>
  <c r="O7" i="9"/>
  <c r="R7" i="9" s="1"/>
  <c r="E5" i="10"/>
  <c r="F5" i="10" s="1"/>
  <c r="G5" i="10" s="1"/>
  <c r="E6" i="10"/>
  <c r="F6" i="10" s="1"/>
  <c r="G6" i="10" s="1"/>
  <c r="O10" i="9"/>
  <c r="R10" i="9" s="1"/>
  <c r="P15" i="9"/>
  <c r="S15" i="9" s="1"/>
  <c r="E49" i="10"/>
  <c r="F49" i="10" s="1"/>
  <c r="G49" i="10" s="1"/>
  <c r="E44" i="10"/>
  <c r="F44" i="10" s="1"/>
  <c r="G44" i="10" s="1"/>
  <c r="P7" i="9"/>
  <c r="S7" i="9" s="1"/>
  <c r="P10" i="9"/>
  <c r="S10" i="9" s="1"/>
  <c r="E45" i="10"/>
  <c r="F45" i="10" s="1"/>
  <c r="G45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tc={0B974C83-E393-4D24-9238-9ECDE1F8DB25}</author>
  </authors>
  <commentList>
    <comment ref="G41" authorId="0" shapeId="0" xr:uid="{0B974C83-E393-4D24-9238-9ECDE1F8DB2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https://gemini.google.com/app/cb2f8387004cee95
Total boran should be 1 to 1.5 M</t>
      </text>
    </comment>
  </commentList>
</comments>
</file>

<file path=xl/sharedStrings.xml><?xml version="1.0" encoding="utf-8"?>
<sst xmlns="http://schemas.openxmlformats.org/spreadsheetml/2006/main" count="632" uniqueCount="238">
  <si>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</si>
  <si>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</si>
  <si>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</si>
  <si>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</si>
  <si>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</si>
  <si>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</si>
  <si>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</si>
  <si>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</si>
  <si>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</si>
  <si>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</si>
  <si>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</si>
  <si>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</si>
  <si>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</si>
  <si>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</si>
  <si>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</si>
  <si>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</si>
  <si>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</si>
  <si>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</si>
  <si>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</si>
  <si>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</si>
  <si>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</si>
  <si>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</si>
  <si>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</si>
  <si>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</si>
  <si>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</si>
  <si>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</si>
  <si>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</si>
  <si>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</si>
  <si>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</si>
  <si>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</si>
  <si>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</si>
  <si>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</si>
  <si>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</si>
  <si>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</si>
  <si>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</si>
  <si>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</si>
  <si>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</si>
  <si>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</si>
  <si>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</si>
  <si>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</si>
  <si>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Frac pastoral to agpastoral - arid</t>
  </si>
  <si>
    <t>Frac mixed to agropastoral - semi arid</t>
  </si>
  <si>
    <t>Cow-calf</t>
  </si>
  <si>
    <t>Fraction</t>
  </si>
  <si>
    <t>Absolute difference</t>
  </si>
  <si>
    <t>Growth rate</t>
  </si>
  <si>
    <t>Absolute growth (M hd)</t>
  </si>
  <si>
    <t>Breed decompositon (by farm-type)</t>
  </si>
  <si>
    <t>Boran -- Subsistence</t>
  </si>
  <si>
    <t>Boran -- Commercial</t>
  </si>
  <si>
    <t>FAO (2019) estimates --- all catl</t>
  </si>
  <si>
    <t>trend.line(FAO)</t>
  </si>
  <si>
    <t>FAO (2019) estimates --- beef cattle -- no trend adjustment</t>
  </si>
  <si>
    <t>FAO (2019) estimates --- beef cattle -- trend adjustment</t>
  </si>
  <si>
    <t>Breed 1</t>
  </si>
  <si>
    <t>Breed 2</t>
  </si>
  <si>
    <t>Excel method</t>
  </si>
  <si>
    <t>Delta total</t>
  </si>
  <si>
    <t>Semi-arid</t>
  </si>
  <si>
    <t>Dairy</t>
  </si>
  <si>
    <t>Mean LW -- dairy cattle (kg)</t>
  </si>
  <si>
    <t>FRAC DMI as BW</t>
  </si>
  <si>
    <t>Total weight  - Dairy (kg)</t>
  </si>
  <si>
    <t>Biomass demand (MT/ha/yr)</t>
  </si>
  <si>
    <t>Year</t>
  </si>
  <si>
    <t>2050 R4</t>
  </si>
  <si>
    <t>2050 R8</t>
  </si>
  <si>
    <t>Frac pastoral to agpastoral - semiarid &amp; humid</t>
  </si>
  <si>
    <t>NPP - Grassland</t>
  </si>
  <si>
    <t>NPP - Cropland</t>
  </si>
  <si>
    <t>NPP - Shrubland</t>
  </si>
  <si>
    <t>BIOM GRASS Supply (MT/ha/yr)</t>
  </si>
  <si>
    <t>BIOM CROP Supply (MT/ha/yr)</t>
  </si>
  <si>
    <t>BIOM Total (MT/ha/yr)</t>
  </si>
  <si>
    <t>Biomass supply (MT/yr)</t>
  </si>
  <si>
    <t>Comm beef</t>
  </si>
  <si>
    <t>Subs beef</t>
  </si>
  <si>
    <t>Total beef</t>
  </si>
  <si>
    <t>Carrying capacity (S/D)</t>
  </si>
  <si>
    <t>Sheep</t>
  </si>
  <si>
    <t>Mean LW -- sheep (kg)</t>
  </si>
  <si>
    <t>Total weight - Sheep (kg)</t>
  </si>
  <si>
    <t>2050 - ha/pixel</t>
  </si>
  <si>
    <t>2020 - ha/pixel</t>
  </si>
  <si>
    <t>Simulation average</t>
  </si>
  <si>
    <t>GRASSLAND</t>
  </si>
  <si>
    <t>CROPLAND</t>
  </si>
  <si>
    <t>SHRUBLAND</t>
  </si>
  <si>
    <t>Land areas (ha)</t>
  </si>
  <si>
    <t>NPP (kg C/m2/yr)</t>
  </si>
  <si>
    <t>FRAC Fed -- Arid</t>
  </si>
  <si>
    <t>FRAC Fed -- Semi-arid</t>
  </si>
  <si>
    <t>FRAC Fed -- Humid/Subhumid</t>
  </si>
  <si>
    <t>breed</t>
  </si>
  <si>
    <t>farm.type</t>
  </si>
  <si>
    <t>aez</t>
  </si>
  <si>
    <t>cohort</t>
  </si>
  <si>
    <t>scenario</t>
  </si>
  <si>
    <t>zebu</t>
  </si>
  <si>
    <t>pastoral</t>
  </si>
  <si>
    <t>arid</t>
  </si>
  <si>
    <t>male.finisher</t>
  </si>
  <si>
    <t>baseline</t>
  </si>
  <si>
    <t>female.finisher</t>
  </si>
  <si>
    <t>female.breeder</t>
  </si>
  <si>
    <t>semi.arid</t>
  </si>
  <si>
    <t>boran</t>
  </si>
  <si>
    <t>agro-pastoral</t>
  </si>
  <si>
    <t>humid.subhumid</t>
  </si>
  <si>
    <t>mixed</t>
  </si>
  <si>
    <t>cow-calf</t>
  </si>
  <si>
    <t>beef</t>
  </si>
  <si>
    <t>finisher</t>
  </si>
  <si>
    <t>population.M.hd</t>
  </si>
  <si>
    <t>Pixel adjustment</t>
  </si>
  <si>
    <t>Mean LW -- beef cattle (kg) -- Baseline</t>
  </si>
  <si>
    <t>Mean LW -- beef cattle (kg) -- Low-end</t>
  </si>
  <si>
    <t>Mean LW -- beef cattle (kg) -- High-end</t>
  </si>
  <si>
    <t>Biomass demand (MT/yr) - BL</t>
  </si>
  <si>
    <t>Total weight  - Beef (kg) - WC</t>
  </si>
  <si>
    <t>Total weight  - Beef (kg) - BC</t>
  </si>
  <si>
    <t>Total weight  - Beef (kg) - BL</t>
  </si>
  <si>
    <t>Biomass demand (MT/yr) - BC</t>
  </si>
  <si>
    <t>Biomass demand (MT/yr) - WC</t>
  </si>
  <si>
    <t>Carrying capacity (S/D) - BL</t>
  </si>
  <si>
    <t>Carrying capacity (S/D) - WC</t>
  </si>
  <si>
    <t>Carrying capacity (S/D) - BC</t>
  </si>
  <si>
    <t>BL</t>
  </si>
  <si>
    <t>WC</t>
  </si>
  <si>
    <t>BC</t>
  </si>
  <si>
    <t>Total animal weights (kg), by species</t>
  </si>
  <si>
    <t>Beef - Baseline</t>
  </si>
  <si>
    <t>Beef - Low-end</t>
  </si>
  <si>
    <t>Beef - High-end</t>
  </si>
  <si>
    <t>.</t>
  </si>
  <si>
    <t>Animal populations (M hd)</t>
  </si>
  <si>
    <t xml:space="preserve"> RCP 4.5</t>
  </si>
  <si>
    <t>RCP 8.5</t>
  </si>
  <si>
    <t>Sensitivity analysis</t>
  </si>
  <si>
    <t>Herd scalars</t>
  </si>
  <si>
    <t>Animal populations (M hd) -- SA scenario specific</t>
  </si>
  <si>
    <t>Beef cattle weights - by SA scenario</t>
  </si>
  <si>
    <t>2050 Biomass demand (MT/ha/yr)</t>
  </si>
  <si>
    <t>2050 Total animal weights (kg), by species</t>
  </si>
  <si>
    <t>Animal population growth (M hd) -- 2050</t>
  </si>
  <si>
    <t>Biomass supply (MT/yr) - R4</t>
  </si>
  <si>
    <t>2050 Carrying capacity (S/D)</t>
  </si>
  <si>
    <t>Carrying capacity (S/D) - BL - 2020</t>
  </si>
  <si>
    <t>Color code -- CC impacts</t>
  </si>
  <si>
    <t>Unique CC value</t>
  </si>
  <si>
    <t>CABI (2019) calibration</t>
  </si>
  <si>
    <t>Boran</t>
  </si>
  <si>
    <t>Period average carrying capacity (S/D)</t>
  </si>
  <si>
    <t>DMI deficit ratio - RCP 4.5 - BL - arid</t>
  </si>
  <si>
    <t>DMI deficit ratio - RCP 4.5 - BL - semi-arid</t>
  </si>
  <si>
    <t>DMI deficit ratio - RCP 4.5 - BL - humid/subhumid</t>
  </si>
  <si>
    <t>DMI deficit ratio - RCP 4.5 - WC - arid</t>
  </si>
  <si>
    <t>DMI deficit ratio - RCP 4.5 - WC - semi-arid</t>
  </si>
  <si>
    <t>DMI deficit ratio - RCP 4.5 - WC - humid/subhumid</t>
  </si>
  <si>
    <t>DMI deficit ratio - RCP 4.5 - BC - arid</t>
  </si>
  <si>
    <t>DMI deficit ratio - RCP 4.5 - BC - semi-arid</t>
  </si>
  <si>
    <t>DMI deficit ratio - RCP 4.5 - BC - humid/subhumid</t>
  </si>
  <si>
    <t>DMI Deficit ratio - RCP 4.5 - +HS - arid</t>
  </si>
  <si>
    <t>DMI Deficit ratio - RCP 4.5 - +HS - semi-arid</t>
  </si>
  <si>
    <t>DMI Deficit ratio - RCP 4.5 - +HS - humid/subhumid</t>
  </si>
  <si>
    <t>DMI Deficit ratio - RCP 4.5 - -HS - arid</t>
  </si>
  <si>
    <t>DMI Deficit ratio - RCP 4.5 - -HS - semi-arid</t>
  </si>
  <si>
    <t>DMI Deficit ratio - RCP 4.5 - -HS - humid/subhumid</t>
  </si>
  <si>
    <t>DMI Deficit ratio - RCP 4.5 - +AGROPAS:PAS - arid</t>
  </si>
  <si>
    <t>DMI Deficit ratio - RCP 4.5 - +AGROPAS:PAS - semi-arid</t>
  </si>
  <si>
    <t>DMI Deficit ratio - RCP 4.5 - +AGROPAS:PAS- humid/subhumid</t>
  </si>
  <si>
    <t>DMI Deficit ratio - RCP 4.5 - -AGROPAS:PAS - arid</t>
  </si>
  <si>
    <t>DMI Deficit ratio - RCP 4.5 - -AGROPAS:PAS- semi-arid</t>
  </si>
  <si>
    <t>DMI Deficit ratio - RCP 4.5 - -AGROPAS:PAS- humid/subhumid</t>
  </si>
  <si>
    <t>DMI Deficit ratio - RCP 4.5 - +MIXED:AGROPAS - arid</t>
  </si>
  <si>
    <t>DMI Deficit ratio - RCP 4.5 - +MIXED:AGROPAS - semi-arid</t>
  </si>
  <si>
    <t>DMI Deficit ratio - RCP 4.5 - +MIXED:AGROPAS - humid/subhumid</t>
  </si>
  <si>
    <t>DMI Deficit ratio - RCP 4.5 - -MIXED:AGROPAS - arid</t>
  </si>
  <si>
    <t>DMI Deficit ratio - RCP 4.5 - -MIXED:AGROPAS- semi-arid</t>
  </si>
  <si>
    <t>DMI Deficit ratio - RCP 4.5 - -MIXED:AGROPAS - humid/subhumid</t>
  </si>
  <si>
    <t>DMI Deficit ratio - RCP 4.5 - +FINIS - arid</t>
  </si>
  <si>
    <t>DMI Deficit ratio - RCP 4.5 - +FINIS - semi-arid</t>
  </si>
  <si>
    <t>DMI Deficit ratio - RCP 4.5 - +FINIS - humid/subhumid</t>
  </si>
  <si>
    <t>DMI Deficit ratio - RCP 4.5 - -FINIS - arid</t>
  </si>
  <si>
    <t>DMI Deficit ratio - RCP 4.5 - -FINIS - semi-arid</t>
  </si>
  <si>
    <t>DMI Deficit ratio - RCP 4.5 - -FINIS - humid/subhumid</t>
  </si>
  <si>
    <t>DMI Deficit ratio - RCP 4.5 - +COMSUB - arid</t>
  </si>
  <si>
    <t>DMI Deficit ratio - RCP 4.5 - +COMSUB - semi-arid</t>
  </si>
  <si>
    <t>DMI Deficit ratio - RCP 4.5 - +COMSUB - humid/subhumid</t>
  </si>
  <si>
    <t>DMI Deficit ratio - RCP 4.5 - -COMSUB - arid</t>
  </si>
  <si>
    <t>DMI Deficit ratio - RCP 4.5 - -COMSUB - semi-arid</t>
  </si>
  <si>
    <t>DMI Deficit ratio - RCP 4.5 - -COMSUB - humid/subhumid</t>
  </si>
  <si>
    <t>DMI deficit ratio - RCP 8.5 - arid</t>
  </si>
  <si>
    <t>DMI deficit ratio - RCP 8.5 - semi-arid</t>
  </si>
  <si>
    <t>DMI deficit ratio - RCP 8.5 - humid/subhumid</t>
  </si>
  <si>
    <t>DMI deficit ratio - RCP 8.5 - WC - arid</t>
  </si>
  <si>
    <t>DMI deficit ratio - RCP 8.5 - WC - semi-arid</t>
  </si>
  <si>
    <t>DMI deficit ratio - RCP 8.5 - WC - humid/subhumid</t>
  </si>
  <si>
    <t>DMI deficit ratio - RCP 8.5 - BC - arid</t>
  </si>
  <si>
    <t>DMI deficit ratio - RCP 8.5 - BC - semi-arid</t>
  </si>
  <si>
    <t>DMI deficit ratio - RCP 8.5 - BC - humid/subhumid</t>
  </si>
  <si>
    <t>RCP - scenario - agroecology</t>
  </si>
  <si>
    <t>RCP</t>
  </si>
  <si>
    <t>Scenario</t>
  </si>
  <si>
    <t>Deficit</t>
  </si>
  <si>
    <t>Agroecology</t>
  </si>
  <si>
    <t>Semi-Arid</t>
  </si>
  <si>
    <t>Humid/Subhumid</t>
  </si>
  <si>
    <t xml:space="preserve">Arid </t>
  </si>
  <si>
    <t>+HS</t>
  </si>
  <si>
    <t xml:space="preserve">BL </t>
  </si>
  <si>
    <t xml:space="preserve">WC </t>
  </si>
  <si>
    <t>Fraction 100%</t>
  </si>
  <si>
    <t>+30% Herd size</t>
  </si>
  <si>
    <t xml:space="preserve">-30% Herd size </t>
  </si>
  <si>
    <t>+30% Zebu</t>
  </si>
  <si>
    <t>-30% Zebu</t>
  </si>
  <si>
    <t>+30% Boran</t>
  </si>
  <si>
    <t>-30% Boran</t>
  </si>
  <si>
    <t>+30% Exotic</t>
  </si>
  <si>
    <t>-30% Exotic</t>
  </si>
  <si>
    <t>+30% Finisher:Breeder</t>
  </si>
  <si>
    <t>-30% Finisher:Breeder</t>
  </si>
  <si>
    <t>+30% Pastoral:Agropastoral</t>
  </si>
  <si>
    <t>-30% Pastoral:Agropastoral</t>
  </si>
  <si>
    <t>+30% Mixed:Agropastoral</t>
  </si>
  <si>
    <t>-30% Mixed:Agropastoral</t>
  </si>
  <si>
    <t>+30% Cowcalf:Finisher</t>
  </si>
  <si>
    <t>-30% Cowcalf:Finisher</t>
  </si>
  <si>
    <t>+30% Commercial:Subsistence</t>
  </si>
  <si>
    <t>-30% Commercial:Subsistence</t>
  </si>
  <si>
    <t>Baseline</t>
  </si>
  <si>
    <t>Worst-case</t>
  </si>
  <si>
    <t>Best-case</t>
  </si>
  <si>
    <t>Percent</t>
  </si>
  <si>
    <t>Table</t>
  </si>
  <si>
    <t>RCP 4.5</t>
  </si>
  <si>
    <t>Worst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</si>
</sst>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0"/>
    <numFmt numFmtId="165" formatCode="0.000000000"/>
    <numFmt numFmtId="166" formatCode="0.0000000"/>
    <numFmt numFmtId="167" formatCode="0.000"/>
    <numFmt numFmtId="168" formatCode="0.0000"/>
    <numFmt numFmtId="169" formatCode="0.00000"/>
    <numFmt numFmtId="170" formatCode="0.000000"/>
    <numFmt numFmtId="171" formatCode="0.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2" borderId="0" xfId="0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0" fontId="1" fillId="3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1" fillId="4" borderId="0" xfId="0" applyFont="1" applyFill="1"/>
    <xf numFmtId="0" fontId="0" fillId="4" borderId="0" xfId="0" applyFill="1"/>
    <xf numFmtId="167" fontId="0" fillId="4" borderId="0" xfId="0" applyNumberFormat="1" applyFill="1"/>
    <xf numFmtId="167" fontId="0" fillId="3" borderId="0" xfId="0" applyNumberFormat="1" applyFill="1"/>
    <xf numFmtId="0" fontId="1" fillId="4" borderId="0" xfId="0" applyFont="1" applyFill="1" applyAlignment="1">
      <alignment horizontal="center"/>
    </xf>
    <xf numFmtId="167" fontId="0" fillId="4" borderId="0" xfId="0" applyNumberFormat="1" applyFill="1" applyAlignment="1">
      <alignment horizontal="center"/>
    </xf>
    <xf numFmtId="169" fontId="4" fillId="0" borderId="0" xfId="0" applyNumberFormat="1" applyFont="1"/>
    <xf numFmtId="0" fontId="0" fillId="5" borderId="0" xfId="0" applyFill="1"/>
    <xf numFmtId="0" fontId="0" fillId="2" borderId="0" xfId="0" applyFill="1" applyAlignment="1">
      <alignment horizontal="left"/>
    </xf>
    <xf numFmtId="0" fontId="1" fillId="0" borderId="0" xfId="0" applyFont="1" applyAlignment="1">
      <alignment horizontal="left"/>
    </xf>
    <xf numFmtId="167" fontId="0" fillId="0" borderId="0" xfId="0" applyNumberFormat="1" applyAlignment="1">
      <alignment horizontal="center"/>
    </xf>
    <xf numFmtId="2" fontId="0" fillId="0" borderId="0" xfId="0" applyNumberFormat="1"/>
    <xf numFmtId="0" fontId="2" fillId="0" borderId="0" xfId="0" applyFont="1"/>
    <xf numFmtId="0" fontId="2" fillId="0" borderId="0" xfId="0" quotePrefix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quotePrefix="1" applyFont="1"/>
    <xf numFmtId="0" fontId="0" fillId="7" borderId="0" xfId="0" applyFill="1"/>
    <xf numFmtId="0" fontId="0" fillId="8" borderId="0" xfId="0" applyFill="1"/>
    <xf numFmtId="167" fontId="0" fillId="9" borderId="0" xfId="0" applyNumberFormat="1" applyFill="1"/>
    <xf numFmtId="0" fontId="0" fillId="9" borderId="0" xfId="0" applyFill="1"/>
    <xf numFmtId="167" fontId="0" fillId="9" borderId="0" xfId="0" applyNumberFormat="1" applyFill="1" applyAlignment="1">
      <alignment horizontal="center"/>
    </xf>
    <xf numFmtId="164" fontId="0" fillId="9" borderId="0" xfId="0" applyNumberFormat="1" applyFill="1"/>
    <xf numFmtId="0" fontId="0" fillId="0" borderId="0" xfId="0" quotePrefix="1"/>
    <xf numFmtId="167" fontId="6" fillId="2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70" fontId="0" fillId="0" borderId="0" xfId="0" applyNumberFormat="1"/>
    <xf numFmtId="2" fontId="0" fillId="0" borderId="0" xfId="0" applyNumberFormat="1" applyAlignment="1">
      <alignment horizontal="left"/>
    </xf>
    <xf numFmtId="171" fontId="0" fillId="0" borderId="0" xfId="0" applyNumberFormat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8.xml"/><Relationship Id="rId21" Type="http://schemas.openxmlformats.org/officeDocument/2006/relationships/externalLink" Target="externalLinks/externalLink13.xml"/><Relationship Id="rId42" Type="http://schemas.openxmlformats.org/officeDocument/2006/relationships/externalLink" Target="externalLinks/externalLink34.xml"/><Relationship Id="rId47" Type="http://schemas.openxmlformats.org/officeDocument/2006/relationships/externalLink" Target="externalLinks/externalLink39.xml"/><Relationship Id="rId63" Type="http://schemas.openxmlformats.org/officeDocument/2006/relationships/externalLink" Target="externalLinks/externalLink55.xml"/><Relationship Id="rId68" Type="http://schemas.openxmlformats.org/officeDocument/2006/relationships/externalLink" Target="externalLinks/externalLink60.xml"/><Relationship Id="rId84" Type="http://schemas.openxmlformats.org/officeDocument/2006/relationships/calcChain" Target="calcChain.xml"/><Relationship Id="rId16" Type="http://schemas.openxmlformats.org/officeDocument/2006/relationships/externalLink" Target="externalLinks/externalLink8.xml"/><Relationship Id="rId11" Type="http://schemas.openxmlformats.org/officeDocument/2006/relationships/externalLink" Target="externalLinks/externalLink3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53" Type="http://schemas.openxmlformats.org/officeDocument/2006/relationships/externalLink" Target="externalLinks/externalLink45.xml"/><Relationship Id="rId58" Type="http://schemas.openxmlformats.org/officeDocument/2006/relationships/externalLink" Target="externalLinks/externalLink50.xml"/><Relationship Id="rId74" Type="http://schemas.openxmlformats.org/officeDocument/2006/relationships/externalLink" Target="externalLinks/externalLink66.xml"/><Relationship Id="rId79" Type="http://schemas.openxmlformats.org/officeDocument/2006/relationships/externalLink" Target="externalLinks/externalLink71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53.xml"/><Relationship Id="rId82" Type="http://schemas.openxmlformats.org/officeDocument/2006/relationships/sharedStrings" Target="sharedStrings.xml"/><Relationship Id="rId19" Type="http://schemas.openxmlformats.org/officeDocument/2006/relationships/externalLink" Target="externalLinks/externalLink1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43" Type="http://schemas.openxmlformats.org/officeDocument/2006/relationships/externalLink" Target="externalLinks/externalLink35.xml"/><Relationship Id="rId48" Type="http://schemas.openxmlformats.org/officeDocument/2006/relationships/externalLink" Target="externalLinks/externalLink40.xml"/><Relationship Id="rId56" Type="http://schemas.openxmlformats.org/officeDocument/2006/relationships/externalLink" Target="externalLinks/externalLink48.xml"/><Relationship Id="rId64" Type="http://schemas.openxmlformats.org/officeDocument/2006/relationships/externalLink" Target="externalLinks/externalLink56.xml"/><Relationship Id="rId69" Type="http://schemas.openxmlformats.org/officeDocument/2006/relationships/externalLink" Target="externalLinks/externalLink61.xml"/><Relationship Id="rId77" Type="http://schemas.openxmlformats.org/officeDocument/2006/relationships/externalLink" Target="externalLinks/externalLink69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3.xml"/><Relationship Id="rId72" Type="http://schemas.openxmlformats.org/officeDocument/2006/relationships/externalLink" Target="externalLinks/externalLink64.xml"/><Relationship Id="rId80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Relationship Id="rId46" Type="http://schemas.openxmlformats.org/officeDocument/2006/relationships/externalLink" Target="externalLinks/externalLink38.xml"/><Relationship Id="rId59" Type="http://schemas.openxmlformats.org/officeDocument/2006/relationships/externalLink" Target="externalLinks/externalLink51.xml"/><Relationship Id="rId67" Type="http://schemas.openxmlformats.org/officeDocument/2006/relationships/externalLink" Target="externalLinks/externalLink59.xml"/><Relationship Id="rId20" Type="http://schemas.openxmlformats.org/officeDocument/2006/relationships/externalLink" Target="externalLinks/externalLink12.xml"/><Relationship Id="rId41" Type="http://schemas.openxmlformats.org/officeDocument/2006/relationships/externalLink" Target="externalLinks/externalLink33.xml"/><Relationship Id="rId54" Type="http://schemas.openxmlformats.org/officeDocument/2006/relationships/externalLink" Target="externalLinks/externalLink46.xml"/><Relationship Id="rId62" Type="http://schemas.openxmlformats.org/officeDocument/2006/relationships/externalLink" Target="externalLinks/externalLink54.xml"/><Relationship Id="rId70" Type="http://schemas.openxmlformats.org/officeDocument/2006/relationships/externalLink" Target="externalLinks/externalLink62.xml"/><Relationship Id="rId75" Type="http://schemas.openxmlformats.org/officeDocument/2006/relationships/externalLink" Target="externalLinks/externalLink67.xml"/><Relationship Id="rId83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49" Type="http://schemas.openxmlformats.org/officeDocument/2006/relationships/externalLink" Target="externalLinks/externalLink41.xml"/><Relationship Id="rId57" Type="http://schemas.openxmlformats.org/officeDocument/2006/relationships/externalLink" Target="externalLinks/externalLink49.xml"/><Relationship Id="rId10" Type="http://schemas.openxmlformats.org/officeDocument/2006/relationships/externalLink" Target="externalLinks/externalLink2.xml"/><Relationship Id="rId31" Type="http://schemas.openxmlformats.org/officeDocument/2006/relationships/externalLink" Target="externalLinks/externalLink23.xml"/><Relationship Id="rId44" Type="http://schemas.openxmlformats.org/officeDocument/2006/relationships/externalLink" Target="externalLinks/externalLink36.xml"/><Relationship Id="rId52" Type="http://schemas.openxmlformats.org/officeDocument/2006/relationships/externalLink" Target="externalLinks/externalLink44.xml"/><Relationship Id="rId60" Type="http://schemas.openxmlformats.org/officeDocument/2006/relationships/externalLink" Target="externalLinks/externalLink52.xml"/><Relationship Id="rId65" Type="http://schemas.openxmlformats.org/officeDocument/2006/relationships/externalLink" Target="externalLinks/externalLink57.xml"/><Relationship Id="rId73" Type="http://schemas.openxmlformats.org/officeDocument/2006/relationships/externalLink" Target="externalLinks/externalLink65.xml"/><Relationship Id="rId78" Type="http://schemas.openxmlformats.org/officeDocument/2006/relationships/externalLink" Target="externalLinks/externalLink70.xml"/><Relationship Id="rId8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39" Type="http://schemas.openxmlformats.org/officeDocument/2006/relationships/externalLink" Target="externalLinks/externalLink31.xml"/><Relationship Id="rId34" Type="http://schemas.openxmlformats.org/officeDocument/2006/relationships/externalLink" Target="externalLinks/externalLink26.xml"/><Relationship Id="rId50" Type="http://schemas.openxmlformats.org/officeDocument/2006/relationships/externalLink" Target="externalLinks/externalLink42.xml"/><Relationship Id="rId55" Type="http://schemas.openxmlformats.org/officeDocument/2006/relationships/externalLink" Target="externalLinks/externalLink47.xml"/><Relationship Id="rId76" Type="http://schemas.openxmlformats.org/officeDocument/2006/relationships/externalLink" Target="externalLinks/externalLink68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1.xml"/><Relationship Id="rId24" Type="http://schemas.openxmlformats.org/officeDocument/2006/relationships/externalLink" Target="externalLinks/externalLink16.xml"/><Relationship Id="rId40" Type="http://schemas.openxmlformats.org/officeDocument/2006/relationships/externalLink" Target="externalLinks/externalLink32.xml"/><Relationship Id="rId45" Type="http://schemas.openxmlformats.org/officeDocument/2006/relationships/externalLink" Target="externalLinks/externalLink37.xml"/><Relationship Id="rId66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Subsistence.csv" TargetMode="External"/><Relationship Id="rId1" Type="http://schemas.openxmlformats.org/officeDocument/2006/relationships/externalLinkPath" Target="Arid_Subsistence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Subsistence.csv" TargetMode="External"/><Relationship Id="rId1" Type="http://schemas.openxmlformats.org/officeDocument/2006/relationships/externalLinkPath" Target="SArid_Subsistence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Subsistence.csv" TargetMode="External"/><Relationship Id="rId1" Type="http://schemas.openxmlformats.org/officeDocument/2006/relationships/externalLinkPath" Target="Humid_Subsistence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Commercial.csv" TargetMode="External"/><Relationship Id="rId1" Type="http://schemas.openxmlformats.org/officeDocument/2006/relationships/externalLinkPath" Target="Arid_Commercial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Commercial.csv" TargetMode="External"/><Relationship Id="rId1" Type="http://schemas.openxmlformats.org/officeDocument/2006/relationships/externalLinkPath" Target="SArid_Commercial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Commercial.csv" TargetMode="External"/><Relationship Id="rId1" Type="http://schemas.openxmlformats.org/officeDocument/2006/relationships/externalLinkPath" Target="Humid_Commercial.csv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Arid_2020.csv" TargetMode="External"/><Relationship Id="rId2" Type="http://schemas.openxmlformats.org/officeDocument/2006/relationships/externalLinkPath" Target="file:///C:\Users\JHawkins\Documents\Github\KE.beef.spatial\Rasterized%20animal%20populations\Dairy\Dairy_total_Arid_2020.csv" TargetMode="External"/><Relationship Id="rId1" Type="http://schemas.openxmlformats.org/officeDocument/2006/relationships/externalLinkPath" Target="/Users/JHawkins/Documents/Github/KE.beef.spatial/Rasterized%20animal%20populations/Dairy/Dairy_total_Arid_2020.csv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SArid_2020.csv" TargetMode="External"/><Relationship Id="rId2" Type="http://schemas.openxmlformats.org/officeDocument/2006/relationships/externalLinkPath" Target="file:///C:\Users\JHawkins\Documents\Github\KE.beef.spatial\Rasterized%20animal%20populations\Dairy\Dairy_total_SArid_2020.csv" TargetMode="External"/><Relationship Id="rId1" Type="http://schemas.openxmlformats.org/officeDocument/2006/relationships/externalLinkPath" Target="/Users/JHawkins/Documents/Github/KE.beef.spatial/Rasterized%20animal%20populations/Dairy/Dairy_total_SArid_2020.csv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Humid_2020.csv" TargetMode="External"/><Relationship Id="rId2" Type="http://schemas.openxmlformats.org/officeDocument/2006/relationships/externalLinkPath" Target="file:///C:\Users\JHawkins\Documents\Github\KE.beef.spatial\Rasterized%20animal%20populations\Dairy\Dairy_total_Humid_2020.csv" TargetMode="External"/><Relationship Id="rId1" Type="http://schemas.openxmlformats.org/officeDocument/2006/relationships/externalLinkPath" Target="/Users/JHawkins/Documents/Github/KE.beef.spatial/Rasterized%20animal%20populations/Dairy/Dairy_total_Humid_2020.csv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Arid_2020.csv" TargetMode="External"/><Relationship Id="rId2" Type="http://schemas.openxmlformats.org/officeDocument/2006/relationships/externalLinkPath" Target="file:///C:\Users\JHawkins\Documents\Github\KE.beef.spatial\Rasterized%20animal%20populations\Sheep\Sheep_total_Arid_2020.csv" TargetMode="External"/><Relationship Id="rId1" Type="http://schemas.openxmlformats.org/officeDocument/2006/relationships/externalLinkPath" Target="/Users/JHawkins/Documents/Github/KE.beef.spatial/Rasterized%20animal%20populations/Sheep/Sheep_total_Arid_2020.csv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SArid_2020.csv" TargetMode="External"/><Relationship Id="rId2" Type="http://schemas.openxmlformats.org/officeDocument/2006/relationships/externalLinkPath" Target="file:///C:\Users\JHawkins\Documents\Github\KE.beef.spatial\Rasterized%20animal%20populations\Sheep\Sheep_total_SArid_2020.csv" TargetMode="External"/><Relationship Id="rId1" Type="http://schemas.openxmlformats.org/officeDocument/2006/relationships/externalLinkPath" Target="/Users/JHawkins/Documents/Github/KE.beef.spatial/Rasterized%20animal%20populations/Sheep/Sheep_total_SArid_2020.csv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Humid_2020.csv" TargetMode="External"/><Relationship Id="rId2" Type="http://schemas.openxmlformats.org/officeDocument/2006/relationships/externalLinkPath" Target="file:///C:\Users\JHawkins\Documents\Github\KE.beef.spatial\Rasterized%20animal%20populations\Sheep\Sheep_total_Humid_2020.csv" TargetMode="External"/><Relationship Id="rId1" Type="http://schemas.openxmlformats.org/officeDocument/2006/relationships/externalLinkPath" Target="/Users/JHawkins/Documents/Github/KE.beef.spatial/Rasterized%20animal%20populations/Sheep/Sheep_total_Humid_2020.csv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Zebu_2020.csv" TargetMode="External"/><Relationship Id="rId1" Type="http://schemas.openxmlformats.org/officeDocument/2006/relationships/externalLinkPath" Target="2020/Pastoral_Zebu_2020.csv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Boran_2020.csv" TargetMode="External"/><Relationship Id="rId1" Type="http://schemas.openxmlformats.org/officeDocument/2006/relationships/externalLinkPath" Target="2020/Pastoral_Boran_2020.csv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Zebu_2050.csv" TargetMode="External"/><Relationship Id="rId1" Type="http://schemas.openxmlformats.org/officeDocument/2006/relationships/externalLinkPath" Target="2050/Pastoral_Zebu_2050.csv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Boran_2050.csv" TargetMode="External"/><Relationship Id="rId1" Type="http://schemas.openxmlformats.org/officeDocument/2006/relationships/externalLinkPath" Target="2050/Pastoral_Boran_2050.csv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Zebu_2020.csv" TargetMode="External"/><Relationship Id="rId1" Type="http://schemas.openxmlformats.org/officeDocument/2006/relationships/externalLinkPath" Target="2020/Agpastoral_Zebu_2020.csv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Boran_2020.csv" TargetMode="External"/><Relationship Id="rId1" Type="http://schemas.openxmlformats.org/officeDocument/2006/relationships/externalLinkPath" Target="2020/Agpastoral_Boran_2020.csv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Zebu_2050.csv" TargetMode="External"/><Relationship Id="rId1" Type="http://schemas.openxmlformats.org/officeDocument/2006/relationships/externalLinkPath" Target="2050/Agpastoral_Zebu_2050.csv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Boran_2050.csv" TargetMode="External"/><Relationship Id="rId1" Type="http://schemas.openxmlformats.org/officeDocument/2006/relationships/externalLinkPath" Target="2050/Agpastoral_Boran_2050.csv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Zebu_2020.csv" TargetMode="External"/><Relationship Id="rId1" Type="http://schemas.openxmlformats.org/officeDocument/2006/relationships/externalLinkPath" Target="2020/Mixed_Zebu_2020.csv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Boran_2020.csv" TargetMode="External"/><Relationship Id="rId1" Type="http://schemas.openxmlformats.org/officeDocument/2006/relationships/externalLinkPath" Target="2020/Mixed_Boran_2020.csv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Zebu_2050.csv" TargetMode="External"/><Relationship Id="rId1" Type="http://schemas.openxmlformats.org/officeDocument/2006/relationships/externalLinkPath" Target="2050/Mixed_Zebu_2050.csv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Boran_2050.csv" TargetMode="External"/><Relationship Id="rId1" Type="http://schemas.openxmlformats.org/officeDocument/2006/relationships/externalLinkPath" Target="2050/Mixed_Boran_2050.csv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Boran_2020.csv" TargetMode="External"/><Relationship Id="rId1" Type="http://schemas.openxmlformats.org/officeDocument/2006/relationships/externalLinkPath" Target="2020/Cowcalf_Boran_2020.csv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Exotic_2020.csv" TargetMode="External"/><Relationship Id="rId1" Type="http://schemas.openxmlformats.org/officeDocument/2006/relationships/externalLinkPath" Target="2020/Cowcalf_Exotic_2020.csv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Boran_2050.csv" TargetMode="External"/><Relationship Id="rId1" Type="http://schemas.openxmlformats.org/officeDocument/2006/relationships/externalLinkPath" Target="2050/Cowcalf_Boran_2050.csv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Exotic_2050.csv" TargetMode="External"/><Relationship Id="rId1" Type="http://schemas.openxmlformats.org/officeDocument/2006/relationships/externalLinkPath" Target="2050/Cowcalf_Exotic_2050.csv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Boran_2020.csv" TargetMode="External"/><Relationship Id="rId1" Type="http://schemas.openxmlformats.org/officeDocument/2006/relationships/externalLinkPath" Target="2020/Finisher_Boran_2020.csv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Exotic_2020.csv" TargetMode="External"/><Relationship Id="rId1" Type="http://schemas.openxmlformats.org/officeDocument/2006/relationships/externalLinkPath" Target="2020/Finisher_Exotic_2020.csv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Boran_2050.csv" TargetMode="External"/><Relationship Id="rId1" Type="http://schemas.openxmlformats.org/officeDocument/2006/relationships/externalLinkPath" Target="2050/Finisher_Boran_2050.csv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Exotic_2050.csv" TargetMode="External"/><Relationship Id="rId1" Type="http://schemas.openxmlformats.org/officeDocument/2006/relationships/externalLinkPath" Target="2050/Finisher_Exotic_2050.csv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Arid.csv" TargetMode="External"/><Relationship Id="rId2" Type="http://schemas.openxmlformats.org/officeDocument/2006/relationships/externalLinkPath" Target="file:///C:\Users\JHawkins\Documents\Github\KE.beef.spatial\ZS_Grassland_Arid.csv" TargetMode="External"/><Relationship Id="rId1" Type="http://schemas.openxmlformats.org/officeDocument/2006/relationships/externalLinkPath" Target="/Users/JHawkins/Documents/Github/KE.beef.spatial/ZS_Grassland_Arid.csv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SArid.csv" TargetMode="External"/><Relationship Id="rId2" Type="http://schemas.openxmlformats.org/officeDocument/2006/relationships/externalLinkPath" Target="file:///C:\Users\JHawkins\Documents\Github\KE.beef.spatial\ZS_Grassland_SArid.csv" TargetMode="External"/><Relationship Id="rId1" Type="http://schemas.openxmlformats.org/officeDocument/2006/relationships/externalLinkPath" Target="/Users/JHawkins/Documents/Github/KE.beef.spatial/ZS_Grassland_SArid.csv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Humid.csv" TargetMode="External"/><Relationship Id="rId2" Type="http://schemas.openxmlformats.org/officeDocument/2006/relationships/externalLinkPath" Target="file:///C:\Users\JHawkins\Documents\Github\KE.beef.spatial\ZS_Grassland_Humid.csv" TargetMode="External"/><Relationship Id="rId1" Type="http://schemas.openxmlformats.org/officeDocument/2006/relationships/externalLinkPath" Target="/Users/JHawkins/Documents/Github/KE.beef.spatial/ZS_Grassland_Humid.csv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Arid.csv" TargetMode="External"/><Relationship Id="rId2" Type="http://schemas.openxmlformats.org/officeDocument/2006/relationships/externalLinkPath" Target="file:///C:\Users\JHawkins\Documents\Github\KE.beef.spatial\ZS_Cropland_Arid.csv" TargetMode="External"/><Relationship Id="rId1" Type="http://schemas.openxmlformats.org/officeDocument/2006/relationships/externalLinkPath" Target="/Users/JHawkins/Documents/Github/KE.beef.spatial/ZS_Cropland_Arid.csv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SArid.csv" TargetMode="External"/><Relationship Id="rId2" Type="http://schemas.openxmlformats.org/officeDocument/2006/relationships/externalLinkPath" Target="file:///C:\Users\JHawkins\Documents\Github\KE.beef.spatial\ZS_Cropland_SArid.csv" TargetMode="External"/><Relationship Id="rId1" Type="http://schemas.openxmlformats.org/officeDocument/2006/relationships/externalLinkPath" Target="/Users/JHawkins/Documents/Github/KE.beef.spatial/ZS_Cropland_SArid.csv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Humid.csv" TargetMode="External"/><Relationship Id="rId2" Type="http://schemas.openxmlformats.org/officeDocument/2006/relationships/externalLinkPath" Target="file:///C:\Users\JHawkins\Documents\Github\KE.beef.spatial\ZS_Cropland_Humid.csv" TargetMode="External"/><Relationship Id="rId1" Type="http://schemas.openxmlformats.org/officeDocument/2006/relationships/externalLinkPath" Target="/Users/JHawkins/Documents/Github/KE.beef.spatial/ZS_Cropland_Humid.csv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Arid.csv" TargetMode="External"/><Relationship Id="rId2" Type="http://schemas.openxmlformats.org/officeDocument/2006/relationships/externalLinkPath" Target="file:///C:\Users\JHawkins\Documents\Github\KE.beef.spatial\ZS_Shrubland_Arid.csv" TargetMode="External"/><Relationship Id="rId1" Type="http://schemas.openxmlformats.org/officeDocument/2006/relationships/externalLinkPath" Target="/Users/JHawkins/Documents/Github/KE.beef.spatial/ZS_Shrubland_Arid.csv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SArid.csv" TargetMode="External"/><Relationship Id="rId2" Type="http://schemas.openxmlformats.org/officeDocument/2006/relationships/externalLinkPath" Target="file:///C:\Users\JHawkins\Documents\Github\KE.beef.spatial\ZS_Shrubland_SArid.csv" TargetMode="External"/><Relationship Id="rId1" Type="http://schemas.openxmlformats.org/officeDocument/2006/relationships/externalLinkPath" Target="/Users/JHawkins/Documents/Github/KE.beef.spatial/ZS_Shrubland_SArid.csv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Humid.csv" TargetMode="External"/><Relationship Id="rId2" Type="http://schemas.openxmlformats.org/officeDocument/2006/relationships/externalLinkPath" Target="file:///C:\Users\JHawkins\Documents\Github\KE.beef.spatial\ZS_Shrubland_Humid.csv" TargetMode="External"/><Relationship Id="rId1" Type="http://schemas.openxmlformats.org/officeDocument/2006/relationships/externalLinkPath" Target="/Users/JHawkins/Documents/Github/KE.beef.spatial/ZS_Shrubland_Humid.csv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Arid.csv" TargetMode="External"/><Relationship Id="rId1" Type="http://schemas.openxmlformats.org/officeDocument/2006/relationships/externalLinkPath" Target="/Users/JHawkins/Documents/Github/KE.beef.spatial/MODIS%20NPP%20-%20Summary/Land%20use%20specific%20NPP/NPP_2020_GRASS_Arid.csv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SArid.csv" TargetMode="External"/><Relationship Id="rId1" Type="http://schemas.openxmlformats.org/officeDocument/2006/relationships/externalLinkPath" Target="/Users/JHawkins/Documents/Github/KE.beef.spatial/MODIS%20NPP%20-%20Summary/Land%20use%20specific%20NPP/NPP_2020_GRASS_SArid.csv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GRASS_Humid.xlsx" TargetMode="External"/><Relationship Id="rId1" Type="http://schemas.openxmlformats.org/officeDocument/2006/relationships/externalLinkPath" Target="/Users/JHawkins/Documents/Github/KE.beef.spatial/MODIS%20NPP%20-%20Summary/Land%20use%20specific%20NPP/NPP_2020_GRASS_Humid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Arid.csv" TargetMode="External"/><Relationship Id="rId1" Type="http://schemas.openxmlformats.org/officeDocument/2006/relationships/externalLinkPath" Target="/Users/JHawkins/Documents/Github/KE.beef.spatial/MODIS%20NPP%20-%20Summary/Land%20use%20specific%20NPP/NPP_2020_CROP_Arid.csv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SArid.csv" TargetMode="External"/><Relationship Id="rId1" Type="http://schemas.openxmlformats.org/officeDocument/2006/relationships/externalLinkPath" Target="/Users/JHawkins/Documents/Github/KE.beef.spatial/MODIS%20NPP%20-%20Summary/Land%20use%20specific%20NPP/NPP_2020_CROP_SArid.csv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CROP_Humid.xlsx" TargetMode="External"/><Relationship Id="rId1" Type="http://schemas.openxmlformats.org/officeDocument/2006/relationships/externalLinkPath" Target="/Users/JHawkins/Documents/Github/KE.beef.spatial/MODIS%20NPP%20-%20Summary/Land%20use%20specific%20NPP/NPP_2020_CROP_Humid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Arid.csv" TargetMode="External"/><Relationship Id="rId1" Type="http://schemas.openxmlformats.org/officeDocument/2006/relationships/externalLinkPath" Target="/Users/JHawkins/Documents/Github/KE.beef.spatial/MODIS%20NPP%20-%20Summary/Land%20use%20specific%20NPP/NPP_2020_SHRUB_Arid.csv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SArid.csv" TargetMode="External"/><Relationship Id="rId1" Type="http://schemas.openxmlformats.org/officeDocument/2006/relationships/externalLinkPath" Target="/Users/JHawkins/Documents/Github/KE.beef.spatial/MODIS%20NPP%20-%20Summary/Land%20use%20specific%20NPP/NPP_2020_SHRUB_SArid.csv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Hum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Humid.csv" TargetMode="External"/><Relationship Id="rId1" Type="http://schemas.openxmlformats.org/officeDocument/2006/relationships/externalLinkPath" Target="/Users/JHawkins/Documents/Github/KE.beef.spatial/MODIS%20NPP%20-%20Summary/Land%20use%20specific%20NPP/NPP_2020_SHRUB_Humid.csv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Arid.csv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SArid.csv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GRASS_Humid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Arid.csv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SArid.csv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CROP_Humi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Arid.csv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SArid.csv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SHRUB_Humid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Arid.csv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SArid.csv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GRASS_Humid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Arid.csv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SArid.csv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CROP_Humid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Arid.csv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SArid.csv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SHRUB_Humid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aster.logic.xlsx" TargetMode="External"/><Relationship Id="rId2" Type="http://schemas.openxmlformats.org/officeDocument/2006/relationships/externalLinkPath" Target="file:///C:\Users\JHawkins\Documents\Github\KE.beef.spatial\Raster.logic.xlsx" TargetMode="External"/><Relationship Id="rId1" Type="http://schemas.openxmlformats.org/officeDocument/2006/relationships/externalLinkPath" Target="/Users/JHawkins/Documents/Github/KE.beef.spatial/Raster.logic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KE-beef-main/Model/Results.summary/System.aggregate.xlsx" TargetMode="External"/><Relationship Id="rId2" Type="http://schemas.openxmlformats.org/officeDocument/2006/relationships/externalLinkPath" Target="file:///C:\Users\JHawkins\Documents\Github\KE-beef-main\Model\Results.summary\System.aggregate.xlsx" TargetMode="External"/><Relationship Id="rId1" Type="http://schemas.openxmlformats.org/officeDocument/2006/relationships/externalLinkPath" Target="/Users/JHawkins/Documents/Github/KE-beef-main/Model/Results.summary/System.aggreg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</sheetNames>
    <sheetDataSet>
      <sheetData sheetId="0"/>
      <sheetData sheetId="1">
        <row r="35">
          <cell r="F35">
            <v>0.53615960099750615</v>
          </cell>
          <cell r="G35">
            <v>0.38312009613345605</v>
          </cell>
        </row>
        <row r="36">
          <cell r="F36">
            <v>0.36159600997506236</v>
          </cell>
          <cell r="G36">
            <v>2.7950424483806726</v>
          </cell>
        </row>
        <row r="37">
          <cell r="F37">
            <v>2.4937655860349127E-3</v>
          </cell>
          <cell r="G37">
            <v>86.466565349544069</v>
          </cell>
        </row>
        <row r="38">
          <cell r="F38">
            <v>4.9875311720698257E-2</v>
          </cell>
          <cell r="G38">
            <v>1.0372340425531916</v>
          </cell>
        </row>
        <row r="39">
          <cell r="F39">
            <v>4.9875311720698257E-2</v>
          </cell>
          <cell r="G39">
            <v>7.6101823708206684</v>
          </cell>
        </row>
        <row r="40">
          <cell r="G40">
            <v>1.354588821344141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Subsistence"/>
    </sheetNames>
    <sheetDataSet>
      <sheetData sheetId="0" refreshError="1">
        <row r="2">
          <cell r="C2">
            <v>220785.65217611199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Subsistence"/>
    </sheetNames>
    <sheetDataSet>
      <sheetData sheetId="0" refreshError="1">
        <row r="2">
          <cell r="C2">
            <v>467695.362210333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Subsistence"/>
    </sheetNames>
    <sheetDataSet>
      <sheetData sheetId="0" refreshError="1">
        <row r="2">
          <cell r="D2">
            <v>589697.33266333945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Commercial"/>
    </sheetNames>
    <sheetDataSet>
      <sheetData sheetId="0" refreshError="1">
        <row r="2">
          <cell r="C2">
            <v>4580694.9930214901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Commercial"/>
    </sheetNames>
    <sheetDataSet>
      <sheetData sheetId="0" refreshError="1">
        <row r="2">
          <cell r="C2">
            <v>5931614.2707009297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Commercial"/>
    </sheetNames>
    <sheetDataSet>
      <sheetData sheetId="0" refreshError="1">
        <row r="2">
          <cell r="D2">
            <v>4968107.5438200859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Arid_2020"/>
    </sheetNames>
    <sheetDataSet>
      <sheetData sheetId="0" refreshError="1">
        <row r="2">
          <cell r="C2">
            <v>24812.591756207301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SArid_2020"/>
    </sheetNames>
    <sheetDataSet>
      <sheetData sheetId="0" refreshError="1">
        <row r="2">
          <cell r="C2">
            <v>1210306.62197518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Humid_2020"/>
    </sheetNames>
    <sheetDataSet>
      <sheetData sheetId="0" refreshError="1">
        <row r="2">
          <cell r="D2">
            <v>5233916.3978957208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Arid_2020"/>
    </sheetNames>
    <sheetDataSet>
      <sheetData sheetId="0" refreshError="1">
        <row r="2">
          <cell r="C2">
            <v>1300620.48691654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SArid_2020"/>
    </sheetNames>
    <sheetDataSet>
      <sheetData sheetId="0" refreshError="1">
        <row r="2">
          <cell r="C2">
            <v>1063972.5190212701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Humid_2020"/>
    </sheetNames>
    <sheetDataSet>
      <sheetData sheetId="0" refreshError="1">
        <row r="2">
          <cell r="D2">
            <v>1001433.3524225579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20"/>
    </sheetNames>
    <sheetDataSet>
      <sheetData sheetId="0">
        <row r="2">
          <cell r="K2">
            <v>7912803.5780913802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20"/>
    </sheetNames>
    <sheetDataSet>
      <sheetData sheetId="0" refreshError="1">
        <row r="2">
          <cell r="K2">
            <v>1124203.7226895699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50"/>
    </sheetNames>
    <sheetDataSet>
      <sheetData sheetId="0">
        <row r="2">
          <cell r="K2">
            <v>8554757.4814370908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50"/>
    </sheetNames>
    <sheetDataSet>
      <sheetData sheetId="0">
        <row r="2">
          <cell r="K2">
            <v>1215408.67359516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20"/>
    </sheetNames>
    <sheetDataSet>
      <sheetData sheetId="0">
        <row r="2">
          <cell r="K2">
            <v>3685141.0110471202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20"/>
    </sheetNames>
    <sheetDataSet>
      <sheetData sheetId="0">
        <row r="2">
          <cell r="K2">
            <v>277376.20390618598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50"/>
    </sheetNames>
    <sheetDataSet>
      <sheetData sheetId="0">
        <row r="2">
          <cell r="K2">
            <v>6488770.1197828101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50"/>
    </sheetNames>
    <sheetDataSet>
      <sheetData sheetId="0">
        <row r="2">
          <cell r="K2">
            <v>488402.05019366002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20"/>
    </sheetNames>
    <sheetDataSet>
      <sheetData sheetId="0">
        <row r="2">
          <cell r="K2">
            <v>298374.71550379699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20"/>
    </sheetNames>
    <sheetDataSet>
      <sheetData sheetId="0">
        <row r="2">
          <cell r="K2">
            <v>25945.627401560501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50"/>
    </sheetNames>
    <sheetDataSet>
      <sheetData sheetId="0">
        <row r="2">
          <cell r="K2">
            <v>404262.59496554697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50"/>
    </sheetNames>
    <sheetDataSet>
      <sheetData sheetId="0">
        <row r="2">
          <cell r="K2">
            <v>35153.269665965803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20"/>
    </sheetNames>
    <sheetDataSet>
      <sheetData sheetId="0">
        <row r="2">
          <cell r="K2">
            <v>1184753.34766715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20"/>
    </sheetNames>
    <sheetDataSet>
      <sheetData sheetId="0">
        <row r="2">
          <cell r="K2">
            <v>985977.36353097099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50"/>
    </sheetNames>
    <sheetDataSet>
      <sheetData sheetId="0">
        <row r="2">
          <cell r="K2">
            <v>1806208.69891036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50"/>
    </sheetNames>
    <sheetDataSet>
      <sheetData sheetId="0">
        <row r="2">
          <cell r="K2">
            <v>1503165.94333724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20"/>
    </sheetNames>
    <sheetDataSet>
      <sheetData sheetId="0">
        <row r="2">
          <cell r="K2">
            <v>26321.876059999999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20"/>
    </sheetNames>
    <sheetDataSet>
      <sheetData sheetId="0">
        <row r="2">
          <cell r="K2">
            <v>12386.7653238613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50"/>
    </sheetNames>
    <sheetDataSet>
      <sheetData sheetId="0">
        <row r="2">
          <cell r="K2">
            <v>918345.45531155204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50"/>
    </sheetNames>
    <sheetDataSet>
      <sheetData sheetId="0">
        <row r="2">
          <cell r="K2">
            <v>432162.57168335503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Arid"/>
    </sheetNames>
    <sheetDataSet>
      <sheetData sheetId="0" refreshError="1">
        <row r="2">
          <cell r="D2">
            <v>202419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SArid"/>
    </sheetNames>
    <sheetDataSet>
      <sheetData sheetId="0">
        <row r="2">
          <cell r="D2">
            <v>129806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Humid"/>
    </sheetNames>
    <sheetDataSet>
      <sheetData sheetId="0">
        <row r="2">
          <cell r="E2">
            <v>64439.636684333513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Arid"/>
    </sheetNames>
    <sheetDataSet>
      <sheetData sheetId="0">
        <row r="2">
          <cell r="D2">
            <v>524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SArid"/>
    </sheetNames>
    <sheetDataSet>
      <sheetData sheetId="0">
        <row r="2">
          <cell r="D2">
            <v>19552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Humid"/>
    </sheetNames>
    <sheetDataSet>
      <sheetData sheetId="0">
        <row r="2">
          <cell r="E2">
            <v>27078.877240262751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Arid"/>
    </sheetNames>
    <sheetDataSet>
      <sheetData sheetId="0">
        <row r="2">
          <cell r="D2">
            <v>277889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SArid"/>
    </sheetNames>
    <sheetDataSet>
      <sheetData sheetId="0">
        <row r="2">
          <cell r="D2">
            <v>357491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Humid"/>
    </sheetNames>
    <sheetDataSet>
      <sheetData sheetId="0">
        <row r="2">
          <cell r="E2">
            <v>63327.68656939434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Arid"/>
    </sheetNames>
    <sheetDataSet>
      <sheetData sheetId="0">
        <row r="2">
          <cell r="E2">
            <v>0.33293323112310402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SArid"/>
    </sheetNames>
    <sheetDataSet>
      <sheetData sheetId="0">
        <row r="2">
          <cell r="E2">
            <v>0.48080803465972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Humid"/>
      <sheetName val="filtered"/>
    </sheetNames>
    <sheetDataSet>
      <sheetData sheetId="0" refreshError="1"/>
      <sheetData sheetId="1">
        <row r="2">
          <cell r="F2">
            <v>0.88607168377191448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Arid"/>
    </sheetNames>
    <sheetDataSet>
      <sheetData sheetId="0">
        <row r="2">
          <cell r="E2">
            <v>0.97599038751874501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SArid"/>
    </sheetNames>
    <sheetDataSet>
      <sheetData sheetId="0">
        <row r="2">
          <cell r="E2">
            <v>0.71416468993051396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Humid"/>
      <sheetName val="filtered"/>
    </sheetNames>
    <sheetDataSet>
      <sheetData sheetId="0"/>
      <sheetData sheetId="1">
        <row r="2">
          <cell r="F2">
            <v>1.0193612610195171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Arid"/>
    </sheetNames>
    <sheetDataSet>
      <sheetData sheetId="0">
        <row r="2">
          <cell r="E2">
            <v>0.20100553202445001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SArid"/>
    </sheetNames>
    <sheetDataSet>
      <sheetData sheetId="0">
        <row r="2">
          <cell r="E2">
            <v>0.48842843619779902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Humid"/>
      <sheetName val="filtered"/>
    </sheetNames>
    <sheetDataSet>
      <sheetData sheetId="0" refreshError="1"/>
      <sheetData sheetId="1">
        <row r="2">
          <cell r="F2">
            <v>0.9284507277249876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Arid"/>
    </sheetNames>
    <sheetDataSet>
      <sheetData sheetId="0">
        <row r="2">
          <cell r="E2">
            <v>0.36084903504638699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Arid"/>
    </sheetNames>
    <sheetDataSet>
      <sheetData sheetId="0">
        <row r="2">
          <cell r="E2">
            <v>1.0384816436740301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SArid"/>
    </sheetNames>
    <sheetDataSet>
      <sheetData sheetId="0">
        <row r="2">
          <cell r="E2">
            <v>0.72447113600000002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Humid"/>
      <sheetName val="filtered"/>
    </sheetNames>
    <sheetDataSet>
      <sheetData sheetId="0" refreshError="1"/>
      <sheetData sheetId="1">
        <row r="2">
          <cell r="F2">
            <v>0.98649141647533578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Arid"/>
    </sheetNames>
    <sheetDataSet>
      <sheetData sheetId="0">
        <row r="2">
          <cell r="E2">
            <v>0.21776707800273001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Arid"/>
    </sheetNames>
    <sheetDataSet>
      <sheetData sheetId="0">
        <row r="2">
          <cell r="E2">
            <v>0.38422689204237098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SArid"/>
    </sheetNames>
    <sheetDataSet>
      <sheetData sheetId="0">
        <row r="2">
          <cell r="E2">
            <v>0.51337712420869996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Humid"/>
      <sheetName val="filtered"/>
    </sheetNames>
    <sheetDataSet>
      <sheetData sheetId="0"/>
      <sheetData sheetId="1">
        <row r="2">
          <cell r="F2">
            <v>0.88457459938562355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Arid"/>
    </sheetNames>
    <sheetDataSet>
      <sheetData sheetId="0">
        <row r="2">
          <cell r="E2">
            <v>1.10532849796393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SArid"/>
    </sheetNames>
    <sheetDataSet>
      <sheetData sheetId="0">
        <row r="2">
          <cell r="E2">
            <v>0.80695680840268103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Humid"/>
      <sheetName val="filtered"/>
    </sheetNames>
    <sheetDataSet>
      <sheetData sheetId="0"/>
      <sheetData sheetId="1">
        <row r="2">
          <cell r="F2">
            <v>1.0242825546815273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Arid"/>
    </sheetNames>
    <sheetDataSet>
      <sheetData sheetId="0">
        <row r="2">
          <cell r="E2">
            <v>0.231319877140652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SArid"/>
    </sheetNames>
    <sheetDataSet>
      <sheetData sheetId="0">
        <row r="2">
          <cell r="E2">
            <v>0.51046846997934603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Humid"/>
      <sheetName val="filtered"/>
    </sheetNames>
    <sheetDataSet>
      <sheetData sheetId="0"/>
      <sheetData sheetId="1">
        <row r="2">
          <cell r="F2">
            <v>0.93416975929597834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ster_logic"/>
    </sheetNames>
    <sheetDataSet>
      <sheetData sheetId="0">
        <row r="89">
          <cell r="I89">
            <v>0.5</v>
          </cell>
        </row>
        <row r="90">
          <cell r="I90">
            <v>0.44</v>
          </cell>
        </row>
        <row r="91">
          <cell r="I91">
            <v>0.40150000000000002</v>
          </cell>
        </row>
        <row r="95">
          <cell r="I95">
            <v>0.34</v>
          </cell>
        </row>
        <row r="96">
          <cell r="I96">
            <v>0.4</v>
          </cell>
        </row>
        <row r="98">
          <cell r="I98">
            <v>0.4</v>
          </cell>
        </row>
        <row r="99">
          <cell r="I99">
            <v>0.5</v>
          </cell>
        </row>
        <row r="100">
          <cell r="I100">
            <v>0.7</v>
          </cell>
        </row>
        <row r="102">
          <cell r="I102">
            <v>0.4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eef_system"/>
      <sheetName val="Beef_system_weighted_average_BW"/>
      <sheetName val="Beef_population_from_GIS"/>
      <sheetName val="dairy_system"/>
    </sheetNames>
    <sheetDataSet>
      <sheetData sheetId="0">
        <row r="2">
          <cell r="N2">
            <v>3184847.6449140799</v>
          </cell>
        </row>
        <row r="3">
          <cell r="N3">
            <v>547510.19032680185</v>
          </cell>
        </row>
        <row r="4">
          <cell r="N4">
            <v>464359.12639750348</v>
          </cell>
        </row>
        <row r="5">
          <cell r="N5">
            <v>3135722.1558476547</v>
          </cell>
        </row>
        <row r="6">
          <cell r="N6">
            <v>539064.98073832819</v>
          </cell>
        </row>
        <row r="8">
          <cell r="N8">
            <v>452484.06467258057</v>
          </cell>
        </row>
        <row r="9">
          <cell r="N9">
            <v>77786.966282154113</v>
          </cell>
        </row>
        <row r="10">
          <cell r="N10">
            <v>65973.361493660836</v>
          </cell>
        </row>
        <row r="11">
          <cell r="N11">
            <v>445504.60962476954</v>
          </cell>
        </row>
        <row r="12">
          <cell r="N12">
            <v>76587.121521069013</v>
          </cell>
        </row>
        <row r="13">
          <cell r="N13">
            <v>64955.738671448999</v>
          </cell>
        </row>
        <row r="14">
          <cell r="N14">
            <v>2411988.675415596</v>
          </cell>
        </row>
        <row r="15">
          <cell r="N15">
            <v>1311388.257087596</v>
          </cell>
        </row>
        <row r="16">
          <cell r="N16">
            <v>1413979.1386695362</v>
          </cell>
        </row>
        <row r="17">
          <cell r="N17">
            <v>2020195.2768794636</v>
          </cell>
        </row>
        <row r="18">
          <cell r="N18">
            <v>1098371.8083448601</v>
          </cell>
        </row>
        <row r="19">
          <cell r="N19">
            <v>1184298.2542420514</v>
          </cell>
        </row>
        <row r="20">
          <cell r="N20">
            <v>181547.53470870084</v>
          </cell>
        </row>
        <row r="21">
          <cell r="N21">
            <v>98706.643006593265</v>
          </cell>
        </row>
        <row r="22">
          <cell r="N22">
            <v>106428.53731921241</v>
          </cell>
        </row>
        <row r="23">
          <cell r="N23">
            <v>152057.70901243272</v>
          </cell>
        </row>
        <row r="24">
          <cell r="N24">
            <v>82673.146864666924</v>
          </cell>
        </row>
        <row r="25">
          <cell r="N25">
            <v>89140.728813917856</v>
          </cell>
        </row>
        <row r="26">
          <cell r="N26">
            <v>385554.27857469756</v>
          </cell>
        </row>
        <row r="27">
          <cell r="N27">
            <v>680663.94930041372</v>
          </cell>
        </row>
        <row r="28">
          <cell r="N28">
            <v>540257.93285279488</v>
          </cell>
        </row>
        <row r="29">
          <cell r="N29">
            <v>33526.459006495439</v>
          </cell>
        </row>
        <row r="30">
          <cell r="N30">
            <v>59188.169504383812</v>
          </cell>
        </row>
        <row r="31">
          <cell r="N31">
            <v>46978.950682851733</v>
          </cell>
        </row>
        <row r="32">
          <cell r="N32">
            <v>13766.653161991308</v>
          </cell>
        </row>
        <row r="33">
          <cell r="N33">
            <v>24303.878936398811</v>
          </cell>
        </row>
        <row r="34">
          <cell r="N34">
            <v>19290.522743240319</v>
          </cell>
        </row>
        <row r="35">
          <cell r="N35">
            <v>63625.232532970913</v>
          </cell>
        </row>
        <row r="36">
          <cell r="N36">
            <v>112325.04593424902</v>
          </cell>
        </row>
        <row r="37">
          <cell r="N37">
            <v>89154.857086825476</v>
          </cell>
        </row>
        <row r="38">
          <cell r="N38">
            <v>103163.86404158259</v>
          </cell>
        </row>
        <row r="39">
          <cell r="N39">
            <v>182127.20497674387</v>
          </cell>
        </row>
        <row r="40">
          <cell r="N40">
            <v>144558.36448826757</v>
          </cell>
        </row>
        <row r="41">
          <cell r="N41">
            <v>6478.4250174076724</v>
          </cell>
        </row>
        <row r="42">
          <cell r="N42">
            <v>11437.119499481792</v>
          </cell>
        </row>
        <row r="43">
          <cell r="N43">
            <v>9077.8930556425003</v>
          </cell>
        </row>
        <row r="44">
          <cell r="N44">
            <v>29941.285897868653</v>
          </cell>
        </row>
        <row r="45">
          <cell r="N45">
            <v>52858.845145528932</v>
          </cell>
        </row>
        <row r="46">
          <cell r="N46">
            <v>41955.226864388445</v>
          </cell>
        </row>
        <row r="47">
          <cell r="N47">
            <v>48547.70072545061</v>
          </cell>
        </row>
        <row r="48">
          <cell r="N48">
            <v>85706.919989055925</v>
          </cell>
        </row>
        <row r="49">
          <cell r="N49">
            <v>68027.465641537667</v>
          </cell>
        </row>
        <row r="50">
          <cell r="N50">
            <v>1960675.2668457581</v>
          </cell>
        </row>
        <row r="51">
          <cell r="N51">
            <v>1795181.9324481913</v>
          </cell>
        </row>
        <row r="52">
          <cell r="N52">
            <v>0</v>
          </cell>
        </row>
        <row r="53">
          <cell r="N53">
            <v>2613145.6209630435</v>
          </cell>
        </row>
        <row r="54">
          <cell r="N54">
            <v>2392579.6815684526</v>
          </cell>
        </row>
        <row r="55">
          <cell r="N55">
            <v>0</v>
          </cell>
        </row>
        <row r="56">
          <cell r="N56">
            <v>2269518.7931612157</v>
          </cell>
        </row>
        <row r="57">
          <cell r="N57">
            <v>2077957.1210632024</v>
          </cell>
        </row>
        <row r="58">
          <cell r="N58">
            <v>0</v>
          </cell>
        </row>
        <row r="59">
          <cell r="N59">
            <v>922670.71380976844</v>
          </cell>
        </row>
        <row r="60">
          <cell r="N60">
            <v>844791.49762267794</v>
          </cell>
        </row>
        <row r="61">
          <cell r="N61">
            <v>0</v>
          </cell>
        </row>
        <row r="62">
          <cell r="N62">
            <v>1229715.5863355496</v>
          </cell>
        </row>
        <row r="63">
          <cell r="N63">
            <v>1125919.8501498599</v>
          </cell>
        </row>
        <row r="64">
          <cell r="N64">
            <v>0</v>
          </cell>
        </row>
        <row r="65">
          <cell r="N65">
            <v>1068008.8438405716</v>
          </cell>
        </row>
        <row r="66">
          <cell r="N66">
            <v>977862.17461797735</v>
          </cell>
        </row>
        <row r="67">
          <cell r="N67">
            <v>0</v>
          </cell>
        </row>
        <row r="68">
          <cell r="N68">
            <v>3411089.6772503704</v>
          </cell>
        </row>
        <row r="69">
          <cell r="N69">
            <v>586403.67346787895</v>
          </cell>
        </row>
        <row r="70">
          <cell r="N70">
            <v>497345.8071443339</v>
          </cell>
        </row>
        <row r="71">
          <cell r="N71">
            <v>3358474.4606600394</v>
          </cell>
        </row>
        <row r="72">
          <cell r="N72">
            <v>577358.54149886267</v>
          </cell>
        </row>
        <row r="73">
          <cell r="N73">
            <v>489674.37078846362</v>
          </cell>
        </row>
        <row r="74">
          <cell r="N74">
            <v>226242.03233629029</v>
          </cell>
        </row>
        <row r="75">
          <cell r="N75">
            <v>38893.483141077057</v>
          </cell>
        </row>
        <row r="76">
          <cell r="N76">
            <v>32986.680746830418</v>
          </cell>
        </row>
        <row r="77">
          <cell r="N77">
            <v>222752.30481238477</v>
          </cell>
        </row>
        <row r="78">
          <cell r="N78">
            <v>38293.560760534507</v>
          </cell>
        </row>
        <row r="79">
          <cell r="N79">
            <v>32477.869335724499</v>
          </cell>
        </row>
        <row r="80">
          <cell r="N80">
            <v>2502762.4427699465</v>
          </cell>
        </row>
        <row r="81">
          <cell r="N81">
            <v>1360741.5785908927</v>
          </cell>
        </row>
        <row r="82">
          <cell r="N82">
            <v>1467193.4073291423</v>
          </cell>
        </row>
        <row r="83">
          <cell r="N83">
            <v>2096224.1313856798</v>
          </cell>
        </row>
        <row r="84">
          <cell r="N84">
            <v>1139708.3817771936</v>
          </cell>
        </row>
        <row r="85">
          <cell r="N85">
            <v>1228868.6186490103</v>
          </cell>
        </row>
        <row r="86">
          <cell r="N86">
            <v>90773.767354350421</v>
          </cell>
        </row>
        <row r="87">
          <cell r="N87">
            <v>49353.321503296633</v>
          </cell>
        </row>
        <row r="88">
          <cell r="N88">
            <v>53214.268659606205</v>
          </cell>
        </row>
        <row r="89">
          <cell r="N89">
            <v>76028.854506216361</v>
          </cell>
        </row>
        <row r="90">
          <cell r="N90">
            <v>41336.573432333462</v>
          </cell>
        </row>
        <row r="91">
          <cell r="N91">
            <v>44570.364406958928</v>
          </cell>
        </row>
        <row r="92">
          <cell r="N92">
            <v>402317.50807794527</v>
          </cell>
        </row>
        <row r="93">
          <cell r="N93">
            <v>710258.03405260562</v>
          </cell>
        </row>
        <row r="94">
          <cell r="N94">
            <v>563747.40819422074</v>
          </cell>
        </row>
        <row r="95">
          <cell r="N95">
            <v>16763.22950324772</v>
          </cell>
        </row>
        <row r="96">
          <cell r="N96">
            <v>29594.084752191906</v>
          </cell>
        </row>
        <row r="97">
          <cell r="N97">
            <v>23489.475341425867</v>
          </cell>
        </row>
        <row r="101">
          <cell r="N101">
            <v>31812.616266485456</v>
          </cell>
        </row>
        <row r="102">
          <cell r="N102">
            <v>56162.522967124511</v>
          </cell>
        </row>
        <row r="103">
          <cell r="N103">
            <v>44577.428543412738</v>
          </cell>
        </row>
        <row r="104">
          <cell r="N104">
            <v>51581.932020791297</v>
          </cell>
        </row>
        <row r="105">
          <cell r="N105">
            <v>91063.602488371936</v>
          </cell>
        </row>
        <row r="106">
          <cell r="N106">
            <v>72279.182244133786</v>
          </cell>
        </row>
        <row r="110">
          <cell r="N110">
            <v>61753.902164354105</v>
          </cell>
        </row>
        <row r="111">
          <cell r="N111">
            <v>109021.36811265344</v>
          </cell>
        </row>
        <row r="112">
          <cell r="N112">
            <v>86532.655407801183</v>
          </cell>
        </row>
        <row r="113">
          <cell r="N113">
            <v>100129.6327462419</v>
          </cell>
        </row>
        <row r="114">
          <cell r="N114">
            <v>176770.52247742785</v>
          </cell>
        </row>
        <row r="115">
          <cell r="N115">
            <v>140306.64788567147</v>
          </cell>
        </row>
        <row r="119">
          <cell r="N119">
            <v>1306572.8104815218</v>
          </cell>
        </row>
        <row r="120">
          <cell r="N120">
            <v>1196289.8407842263</v>
          </cell>
        </row>
        <row r="121">
          <cell r="N121">
            <v>0</v>
          </cell>
        </row>
        <row r="122">
          <cell r="N122">
            <v>1134759.3965806079</v>
          </cell>
        </row>
        <row r="123">
          <cell r="N123">
            <v>1038978.5605316012</v>
          </cell>
        </row>
        <row r="124">
          <cell r="N124">
            <v>0</v>
          </cell>
        </row>
        <row r="125">
          <cell r="N125">
            <v>1903008.3472326475</v>
          </cell>
        </row>
        <row r="128">
          <cell r="N128">
            <v>2536288.3968170714</v>
          </cell>
        </row>
        <row r="129">
          <cell r="N129">
            <v>2322209.6909340862</v>
          </cell>
        </row>
        <row r="130">
          <cell r="N130">
            <v>0</v>
          </cell>
        </row>
        <row r="131">
          <cell r="N131">
            <v>2202768.2404211797</v>
          </cell>
        </row>
        <row r="132">
          <cell r="N132">
            <v>2016840.7351495787</v>
          </cell>
        </row>
        <row r="133">
          <cell r="N133">
            <v>0</v>
          </cell>
        </row>
        <row r="134">
          <cell r="N134">
            <v>2958605.6125777895</v>
          </cell>
        </row>
        <row r="135">
          <cell r="N135">
            <v>508616.70718572481</v>
          </cell>
        </row>
        <row r="136">
          <cell r="N136">
            <v>431372.44565067306</v>
          </cell>
        </row>
        <row r="137">
          <cell r="N137">
            <v>2912969.8510352699</v>
          </cell>
        </row>
        <row r="138">
          <cell r="N138">
            <v>500771.4199777937</v>
          </cell>
        </row>
        <row r="139">
          <cell r="N139">
            <v>424718.63211701461</v>
          </cell>
        </row>
        <row r="140">
          <cell r="N140">
            <v>678726.09700887091</v>
          </cell>
        </row>
        <row r="141">
          <cell r="N141">
            <v>116680.44942323117</v>
          </cell>
        </row>
        <row r="142">
          <cell r="N142">
            <v>98960.042240491253</v>
          </cell>
        </row>
        <row r="143">
          <cell r="N143">
            <v>668256.91443715431</v>
          </cell>
        </row>
        <row r="144">
          <cell r="N144">
            <v>114880.68228160351</v>
          </cell>
        </row>
        <row r="145">
          <cell r="N145">
            <v>97433.60800717349</v>
          </cell>
        </row>
        <row r="146">
          <cell r="N146">
            <v>2321214.9080612455</v>
          </cell>
        </row>
        <row r="147">
          <cell r="N147">
            <v>1262034.9355842993</v>
          </cell>
        </row>
        <row r="148">
          <cell r="N148">
            <v>1360764.8700099301</v>
          </cell>
        </row>
        <row r="149">
          <cell r="N149">
            <v>1944166.4223732473</v>
          </cell>
        </row>
        <row r="150">
          <cell r="N150">
            <v>1057035.2349125266</v>
          </cell>
        </row>
        <row r="151">
          <cell r="N151">
            <v>1139727.8898350925</v>
          </cell>
        </row>
        <row r="152">
          <cell r="N152">
            <v>272321.30206305126</v>
          </cell>
        </row>
        <row r="153">
          <cell r="N153">
            <v>148059.96450988989</v>
          </cell>
        </row>
        <row r="154">
          <cell r="N154">
            <v>159642.80597881862</v>
          </cell>
        </row>
        <row r="155">
          <cell r="N155">
            <v>228086.56351864908</v>
          </cell>
        </row>
        <row r="156">
          <cell r="N156">
            <v>124009.72029700039</v>
          </cell>
        </row>
        <row r="157">
          <cell r="N157">
            <v>133711.09322087679</v>
          </cell>
        </row>
        <row r="158">
          <cell r="N158">
            <v>368791.04907144984</v>
          </cell>
        </row>
        <row r="159">
          <cell r="N159">
            <v>651069.86454822181</v>
          </cell>
        </row>
        <row r="160">
          <cell r="N160">
            <v>516768.45751136902</v>
          </cell>
        </row>
        <row r="161">
          <cell r="N161">
            <v>50289.688509743159</v>
          </cell>
        </row>
        <row r="162">
          <cell r="N162">
            <v>88782.254256575718</v>
          </cell>
        </row>
        <row r="163">
          <cell r="N163">
            <v>70468.426024277607</v>
          </cell>
        </row>
        <row r="164">
          <cell r="N164">
            <v>20649.979742986961</v>
          </cell>
        </row>
        <row r="165">
          <cell r="N165">
            <v>36455.81840459822</v>
          </cell>
        </row>
        <row r="166">
          <cell r="N166">
            <v>28935.784114860478</v>
          </cell>
        </row>
        <row r="167">
          <cell r="N167">
            <v>95437.848799456377</v>
          </cell>
        </row>
        <row r="168">
          <cell r="N168">
            <v>168487.56890137354</v>
          </cell>
        </row>
        <row r="170">
          <cell r="N170">
            <v>154745.79606237391</v>
          </cell>
        </row>
        <row r="171">
          <cell r="N171">
            <v>273190.80746511579</v>
          </cell>
        </row>
        <row r="172">
          <cell r="N172">
            <v>216837.54673240136</v>
          </cell>
        </row>
        <row r="173">
          <cell r="N173">
            <v>0</v>
          </cell>
        </row>
        <row r="174">
          <cell r="N174">
            <v>0</v>
          </cell>
        </row>
        <row r="175">
          <cell r="N175">
            <v>0</v>
          </cell>
        </row>
        <row r="176">
          <cell r="N176">
            <v>0</v>
          </cell>
        </row>
        <row r="177">
          <cell r="N177">
            <v>0</v>
          </cell>
        </row>
        <row r="178">
          <cell r="N178">
            <v>0</v>
          </cell>
        </row>
        <row r="179">
          <cell r="N179">
            <v>0</v>
          </cell>
        </row>
        <row r="180">
          <cell r="N180">
            <v>0</v>
          </cell>
        </row>
        <row r="181">
          <cell r="N181">
            <v>0</v>
          </cell>
        </row>
        <row r="182">
          <cell r="N182">
            <v>2941012.9002686371</v>
          </cell>
        </row>
        <row r="183">
          <cell r="N183">
            <v>2692772.8986722869</v>
          </cell>
        </row>
        <row r="184">
          <cell r="N184">
            <v>0</v>
          </cell>
        </row>
        <row r="185">
          <cell r="N185">
            <v>3919718.4314445653</v>
          </cell>
        </row>
        <row r="186">
          <cell r="N186">
            <v>3588869.5223526787</v>
          </cell>
        </row>
        <row r="187">
          <cell r="N187">
            <v>0</v>
          </cell>
        </row>
        <row r="188">
          <cell r="N188">
            <v>3404278.1897418238</v>
          </cell>
        </row>
        <row r="189">
          <cell r="N189">
            <v>3116935.6815948035</v>
          </cell>
        </row>
        <row r="190">
          <cell r="N190">
            <v>0</v>
          </cell>
        </row>
        <row r="191">
          <cell r="N191">
            <v>0</v>
          </cell>
        </row>
        <row r="192">
          <cell r="N192">
            <v>0</v>
          </cell>
        </row>
        <row r="193">
          <cell r="N193">
            <v>0</v>
          </cell>
        </row>
        <row r="194">
          <cell r="N194">
            <v>0</v>
          </cell>
        </row>
        <row r="195">
          <cell r="N195">
            <v>0</v>
          </cell>
        </row>
        <row r="196">
          <cell r="N196">
            <v>0</v>
          </cell>
        </row>
        <row r="197">
          <cell r="N197">
            <v>0</v>
          </cell>
        </row>
        <row r="198">
          <cell r="N198">
            <v>0</v>
          </cell>
        </row>
        <row r="199">
          <cell r="N199">
            <v>0</v>
          </cell>
        </row>
      </sheetData>
      <sheetData sheetId="1"/>
      <sheetData sheetId="2"/>
      <sheetData sheetId="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94C87838-5F63-4687-96E8-E5DFC56D834F}" userId="bb158497c03b684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1" dT="2026-06-15T04:34:52.86" personId="{94C87838-5F63-4687-96E8-E5DFC56D834F}" id="{0B974C83-E393-4D24-9238-9ECDE1F8DB25}">
    <text>https://gemini.google.com/app/cb2f8387004cee95
Total boran should be 1 to 1.5 M</text>
    <extLst>
      <x:ext xmlns:xltc2="http://schemas.microsoft.com/office/spreadsheetml/2020/threadedcomments2" uri="{F7C98A9C-CBB3-438F-8F68-D28B6AF4A901}">
        <xltc2:checksum>914658385</xltc2:checksum>
        <xltc2:hyperlink startIndex="0" length="46" url="https://gemini.google.com/app/cb2f8387004cee95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H8"/>
  <sheetViews>
    <sheetView workbookViewId="0">
      <selection activeCell="F1" sqref="F1"/>
    </sheetView>
  </sheetViews>
  <sheetFormatPr defaultRowHeight="15" x14ac:dyDescent="0.25"/>
  <sheetData>
    <row r="1" spans="1:8" x14ac:dyDescent="0.25">
      <c r="B1" t="s">
        <v>3</v>
      </c>
      <c r="C1" s="6" t="s">
        <v>43</v>
      </c>
      <c r="D1" t="s">
        <v>50</v>
      </c>
      <c r="E1" t="s">
        <v>52</v>
      </c>
      <c r="F1" s="6" t="s">
        <v>53</v>
      </c>
      <c r="G1" t="s">
        <v>51</v>
      </c>
      <c r="H1" t="s">
        <v>44</v>
      </c>
    </row>
    <row r="2" spans="1:8" x14ac:dyDescent="0.25">
      <c r="A2" t="s">
        <v>13</v>
      </c>
      <c r="B2">
        <f>Herd_decision_tree!E10</f>
        <v>8.5301909532751541</v>
      </c>
      <c r="C2" s="6">
        <f>B2/$B$8</f>
        <v>0.51509165724121786</v>
      </c>
      <c r="D2">
        <f>[1]FAO_2019_animal_trends!$F$35</f>
        <v>0.53615960099750615</v>
      </c>
      <c r="E2">
        <f>D2/D$8</f>
        <v>0.53615960099750626</v>
      </c>
      <c r="F2" s="6">
        <f>E2-5*G2*E2*0.96/100</f>
        <v>0.52629975213940838</v>
      </c>
      <c r="G2">
        <f>[1]FAO_2019_animal_trends!$G$35</f>
        <v>0.38312009613345605</v>
      </c>
      <c r="H2">
        <f>ABS(F2-C2)</f>
        <v>1.1208094898190524E-2</v>
      </c>
    </row>
    <row r="3" spans="1:8" x14ac:dyDescent="0.25">
      <c r="A3" t="s">
        <v>16</v>
      </c>
      <c r="B3">
        <f>Herd_decision_tree!E14</f>
        <v>5.5211886868147317</v>
      </c>
      <c r="C3" s="6">
        <f t="shared" ref="C3:C6" si="0">B3/$B$8</f>
        <v>0.33339443937546853</v>
      </c>
      <c r="D3">
        <f>[1]FAO_2019_animal_trends!$F$36</f>
        <v>0.36159600997506236</v>
      </c>
      <c r="E3">
        <f t="shared" ref="E3:E6" si="1">D3/D$8</f>
        <v>0.36159600997506242</v>
      </c>
      <c r="F3" s="6">
        <f>E3-5*G3*E3*0.95/100</f>
        <v>0.31358889061540685</v>
      </c>
      <c r="G3">
        <f>[1]FAO_2019_animal_trends!$G$36</f>
        <v>2.7950424483806726</v>
      </c>
      <c r="H3">
        <f>ABS(F3-C3)</f>
        <v>1.9805548760061686E-2</v>
      </c>
    </row>
    <row r="4" spans="1:8" x14ac:dyDescent="0.25">
      <c r="A4" t="s">
        <v>11</v>
      </c>
      <c r="B4">
        <f>Herd_decision_tree!E18</f>
        <v>0.94977299158226114</v>
      </c>
      <c r="C4" s="6">
        <f t="shared" si="0"/>
        <v>5.7351605247385563E-2</v>
      </c>
      <c r="D4">
        <f>[1]FAO_2019_animal_trends!$F$39</f>
        <v>4.9875311720698257E-2</v>
      </c>
      <c r="E4">
        <f t="shared" si="1"/>
        <v>4.9875311720698264E-2</v>
      </c>
      <c r="F4" s="6">
        <f t="shared" ref="F4:F6" si="2">E4-5*G4*E4*0.95/100</f>
        <v>4.6666186084097429E-2</v>
      </c>
      <c r="G4">
        <f>[1]FAO_2019_animal_trends!$G$40</f>
        <v>1.354588821344141</v>
      </c>
      <c r="H4">
        <f t="shared" ref="H4:H6" si="3">ABS(F4-C4)</f>
        <v>1.0685419163288135E-2</v>
      </c>
    </row>
    <row r="5" spans="1:8" x14ac:dyDescent="0.25">
      <c r="A5" t="s">
        <v>42</v>
      </c>
      <c r="B5">
        <f>Herd_decision_tree!E29</f>
        <v>0.84378557029964618</v>
      </c>
      <c r="C5" s="6">
        <f t="shared" si="0"/>
        <v>5.0951603562285619E-2</v>
      </c>
      <c r="D5">
        <f>[1]FAO_2019_animal_trends!$F$38</f>
        <v>4.9875311720698257E-2</v>
      </c>
      <c r="E5">
        <f t="shared" si="1"/>
        <v>4.9875311720698264E-2</v>
      </c>
      <c r="F5" s="6">
        <f t="shared" si="2"/>
        <v>4.7418024088714393E-2</v>
      </c>
      <c r="G5">
        <f>[1]FAO_2019_animal_trends!$G$38</f>
        <v>1.0372340425531916</v>
      </c>
      <c r="H5">
        <f t="shared" si="3"/>
        <v>3.5335794735712259E-3</v>
      </c>
    </row>
    <row r="6" spans="1:8" x14ac:dyDescent="0.25">
      <c r="A6" t="s">
        <v>23</v>
      </c>
      <c r="B6">
        <f>Herd_decision_tree!E25</f>
        <v>0.71559201310109077</v>
      </c>
      <c r="C6" s="6">
        <f t="shared" si="0"/>
        <v>4.3210694573642391E-2</v>
      </c>
      <c r="D6">
        <f>[1]FAO_2019_animal_trends!$F$37</f>
        <v>2.4937655860349127E-3</v>
      </c>
      <c r="E6">
        <f t="shared" si="1"/>
        <v>2.4937655860349131E-3</v>
      </c>
      <c r="F6" s="6">
        <f t="shared" si="2"/>
        <v>-7.7485333020033496E-3</v>
      </c>
      <c r="G6">
        <f>[1]FAO_2019_animal_trends!$G$37</f>
        <v>86.466565349544069</v>
      </c>
      <c r="H6">
        <f t="shared" si="3"/>
        <v>5.0959227875645739E-2</v>
      </c>
    </row>
    <row r="7" spans="1:8" x14ac:dyDescent="0.25">
      <c r="A7" t="s">
        <v>79</v>
      </c>
      <c r="C7" s="6"/>
      <c r="F7" s="6"/>
      <c r="G7">
        <f>76.3/(2012-1978.5)</f>
        <v>2.2776119402985073</v>
      </c>
    </row>
    <row r="8" spans="1:8" x14ac:dyDescent="0.25">
      <c r="B8">
        <f>SUM(B2:B6)</f>
        <v>16.560530215072884</v>
      </c>
      <c r="D8">
        <f>SUM(D2:D6)</f>
        <v>0.99999999999999989</v>
      </c>
      <c r="H8">
        <f>SUM(H2:H6)</f>
        <v>9.619187017075731E-2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6320-BEC2-4269-9329-43A80C09A702}">
  <dimension ref="A1:K53"/>
  <sheetViews>
    <sheetView workbookViewId="0">
      <selection activeCell="G9" sqref="G9"/>
    </sheetView>
  </sheetViews>
  <sheetFormatPr defaultRowHeight="15" x14ac:dyDescent="0.25"/>
  <cols>
    <col min="1" max="1" width="18.5703125" customWidth="1"/>
    <col min="2" max="2" width="17.85546875" bestFit="1" customWidth="1"/>
    <col min="3" max="3" width="16.7109375" bestFit="1" customWidth="1"/>
    <col min="4" max="4" width="15.28515625" bestFit="1" customWidth="1"/>
    <col min="5" max="5" width="16.28515625" bestFit="1" customWidth="1"/>
    <col min="7" max="7" width="28.42578125" customWidth="1"/>
    <col min="8" max="8" width="31.7109375" customWidth="1"/>
    <col min="10" max="10" width="12.5703125" bestFit="1" customWidth="1"/>
  </cols>
  <sheetData>
    <row r="1" spans="1:11" x14ac:dyDescent="0.25">
      <c r="A1" s="3"/>
      <c r="B1" s="2" t="s">
        <v>0</v>
      </c>
      <c r="C1" s="2" t="s">
        <v>1</v>
      </c>
      <c r="D1" s="2" t="s">
        <v>2</v>
      </c>
      <c r="E1" s="2" t="s">
        <v>30</v>
      </c>
      <c r="G1" s="1" t="s">
        <v>4</v>
      </c>
      <c r="K1" s="1" t="s">
        <v>34</v>
      </c>
    </row>
    <row r="2" spans="1:11" x14ac:dyDescent="0.25">
      <c r="A2" s="2" t="s">
        <v>75</v>
      </c>
      <c r="B2" s="8">
        <f>[2]Arid_Subsistence!$C$2/1000000*$H$18</f>
        <v>0.26935849565485659</v>
      </c>
      <c r="C2" s="8">
        <f>[3]SArid_Subsistence!$C$2/1000000*$H$18</f>
        <v>0.57058834189660623</v>
      </c>
      <c r="D2" s="8">
        <f>[4]Humid_Subsistence!$D$2/1000000*$H$18</f>
        <v>0.71943074584927413</v>
      </c>
      <c r="E2" s="9">
        <f>SUM(B2:D2)</f>
        <v>1.5593775834007371</v>
      </c>
      <c r="G2" t="s">
        <v>7</v>
      </c>
      <c r="H2" t="s">
        <v>5</v>
      </c>
      <c r="I2">
        <v>3.5000000000000003E-2</v>
      </c>
      <c r="K2" t="s">
        <v>37</v>
      </c>
    </row>
    <row r="3" spans="1:11" x14ac:dyDescent="0.25">
      <c r="A3" s="2" t="s">
        <v>76</v>
      </c>
      <c r="B3" s="8">
        <f>[5]Arid_Commercial!$C$2/1000000*$H$18</f>
        <v>5.5884478914862177</v>
      </c>
      <c r="C3" s="8">
        <f>[6]SArid_Commercial!$C$2/1000000*$H$18</f>
        <v>7.2365694102551341</v>
      </c>
      <c r="D3" s="8">
        <f>[7]Humid_Commercial!$D$2/1000000*$H$18</f>
        <v>6.0610912034605047</v>
      </c>
      <c r="E3" s="9">
        <f>SUM(B3:D3)</f>
        <v>18.886108505201854</v>
      </c>
      <c r="H3" t="s">
        <v>6</v>
      </c>
      <c r="I3">
        <v>0.68</v>
      </c>
      <c r="K3" t="s">
        <v>38</v>
      </c>
    </row>
    <row r="4" spans="1:11" x14ac:dyDescent="0.25">
      <c r="A4" s="2" t="s">
        <v>59</v>
      </c>
      <c r="B4" s="8">
        <f>[8]Dairy_total_Arid_2020!$C$2/1000000*$H$18</f>
        <v>3.0271361942572905E-2</v>
      </c>
      <c r="C4" s="8">
        <f>[9]Dairy_total_SArid_2020!$C$2/1000000*$H$18</f>
        <v>1.4765740788097195</v>
      </c>
      <c r="D4" s="8">
        <f>[10]Dairy_total_Humid_2020!$D$2/1000000*$H$18</f>
        <v>6.3853780054327789</v>
      </c>
      <c r="E4" s="9"/>
    </row>
    <row r="5" spans="1:11" x14ac:dyDescent="0.25">
      <c r="A5" s="2" t="s">
        <v>79</v>
      </c>
      <c r="B5" s="8">
        <f>9.78*0.76*[11]Sheep_total_Arid_2020!$C$2/1000000*$H$18</f>
        <v>11.794047385286973</v>
      </c>
      <c r="C5" s="8">
        <f>9.78*0.76*[12]Sheep_total_SArid_2020!$C$2/1000000*$H$18</f>
        <v>9.6481198260451801</v>
      </c>
      <c r="D5" s="8">
        <f>9.78*0.76*[13]Sheep_total_Humid_2020!$D$2/1000000*$H$18</f>
        <v>9.0810136627013929</v>
      </c>
      <c r="E5" s="9">
        <f>SUM(B5:D5)</f>
        <v>30.52318087403355</v>
      </c>
    </row>
    <row r="6" spans="1:11" x14ac:dyDescent="0.25">
      <c r="A6" s="2" t="s">
        <v>77</v>
      </c>
      <c r="B6" s="8">
        <f>SUM(B2:B3)</f>
        <v>5.8578063871410739</v>
      </c>
      <c r="C6" s="8">
        <f>SUM(C2:C3)</f>
        <v>7.8071577521517401</v>
      </c>
      <c r="D6" s="8">
        <f>SUM(D2:D3)</f>
        <v>6.7805219493097786</v>
      </c>
      <c r="E6" s="9">
        <f>SUM(B6:D6)</f>
        <v>20.445486088602593</v>
      </c>
    </row>
    <row r="7" spans="1:11" x14ac:dyDescent="0.25">
      <c r="B7" s="9"/>
      <c r="C7" s="9"/>
      <c r="D7" s="9"/>
      <c r="E7" s="9"/>
      <c r="G7" t="s">
        <v>36</v>
      </c>
      <c r="H7" t="s">
        <v>40</v>
      </c>
      <c r="I7" s="6">
        <f>0.7391304+0.03</f>
        <v>0.76913039999999999</v>
      </c>
      <c r="K7" t="s">
        <v>39</v>
      </c>
    </row>
    <row r="8" spans="1:11" x14ac:dyDescent="0.25">
      <c r="A8" s="5" t="s">
        <v>33</v>
      </c>
      <c r="B8" s="9"/>
      <c r="C8" s="9"/>
      <c r="D8" s="9"/>
      <c r="E8" s="9"/>
      <c r="H8" t="s">
        <v>67</v>
      </c>
      <c r="I8" s="6">
        <f>0.5348+0.05</f>
        <v>0.5848000000000001</v>
      </c>
      <c r="K8" t="s">
        <v>39</v>
      </c>
    </row>
    <row r="9" spans="1:11" x14ac:dyDescent="0.25">
      <c r="A9" s="2" t="s">
        <v>8</v>
      </c>
      <c r="B9" s="9"/>
      <c r="C9" s="9"/>
      <c r="D9" s="9"/>
      <c r="E9" s="9"/>
      <c r="H9" t="s">
        <v>41</v>
      </c>
      <c r="I9">
        <f>0.0567+0.1</f>
        <v>0.15670000000000001</v>
      </c>
      <c r="K9" t="s">
        <v>39</v>
      </c>
    </row>
    <row r="10" spans="1:11" x14ac:dyDescent="0.25">
      <c r="A10" s="3" t="s">
        <v>13</v>
      </c>
      <c r="B10" s="9">
        <f>B3*I7</f>
        <v>4.2982451621579507</v>
      </c>
      <c r="C10" s="9">
        <f>C3*I8</f>
        <v>4.2319457911172034</v>
      </c>
      <c r="D10" s="9"/>
      <c r="E10" s="9">
        <f t="shared" ref="E10:E20" si="0">SUM(B10:D10)</f>
        <v>8.5301909532751541</v>
      </c>
    </row>
    <row r="11" spans="1:11" x14ac:dyDescent="0.25">
      <c r="A11" s="3" t="s">
        <v>14</v>
      </c>
      <c r="B11" s="9">
        <f>B10*(1-I11)</f>
        <v>3.7635434639855019</v>
      </c>
      <c r="C11" s="9">
        <f>C10*(1-I11)</f>
        <v>3.7054917347022234</v>
      </c>
      <c r="D11" s="9"/>
      <c r="E11" s="9">
        <f t="shared" si="0"/>
        <v>7.4690351986877257</v>
      </c>
      <c r="G11" t="s">
        <v>47</v>
      </c>
      <c r="H11" t="s">
        <v>9</v>
      </c>
      <c r="I11">
        <f>(0.1244)</f>
        <v>0.1244</v>
      </c>
      <c r="K11" t="s">
        <v>39</v>
      </c>
    </row>
    <row r="12" spans="1:11" x14ac:dyDescent="0.25">
      <c r="A12" s="3" t="s">
        <v>15</v>
      </c>
      <c r="B12" s="9">
        <f>B10*(I11)</f>
        <v>0.53470169817244906</v>
      </c>
      <c r="C12" s="9">
        <f>C10*(I11)</f>
        <v>0.52645405641498011</v>
      </c>
      <c r="D12" s="9"/>
      <c r="E12" s="9">
        <f t="shared" si="0"/>
        <v>1.0611557545874293</v>
      </c>
      <c r="H12" t="s">
        <v>10</v>
      </c>
      <c r="I12">
        <f>(0.07)</f>
        <v>7.0000000000000007E-2</v>
      </c>
      <c r="K12" t="s">
        <v>39</v>
      </c>
    </row>
    <row r="13" spans="1:11" x14ac:dyDescent="0.25">
      <c r="B13" s="9"/>
      <c r="C13" s="9"/>
      <c r="D13" s="9"/>
      <c r="E13" s="9"/>
      <c r="H13" t="s">
        <v>12</v>
      </c>
      <c r="I13">
        <f>(0.08)</f>
        <v>0.08</v>
      </c>
      <c r="K13" t="s">
        <v>39</v>
      </c>
    </row>
    <row r="14" spans="1:11" x14ac:dyDescent="0.25">
      <c r="A14" s="3" t="s">
        <v>16</v>
      </c>
      <c r="B14" s="9"/>
      <c r="C14" s="9">
        <f>C3*(1-I8)</f>
        <v>3.0046236191379312</v>
      </c>
      <c r="D14" s="9">
        <f>D3*(1-I8)</f>
        <v>2.516565067676801</v>
      </c>
      <c r="E14" s="9">
        <f t="shared" si="0"/>
        <v>5.5211886868147317</v>
      </c>
    </row>
    <row r="15" spans="1:11" x14ac:dyDescent="0.25">
      <c r="A15" s="3" t="s">
        <v>17</v>
      </c>
      <c r="B15" s="9"/>
      <c r="C15" s="9">
        <f>C14*(1-I12)</f>
        <v>2.7942999657982757</v>
      </c>
      <c r="D15" s="9">
        <f>D14*(1-I12)</f>
        <v>2.3404055129394248</v>
      </c>
      <c r="E15" s="9">
        <f t="shared" si="0"/>
        <v>5.1347054787377004</v>
      </c>
    </row>
    <row r="16" spans="1:11" x14ac:dyDescent="0.25">
      <c r="A16" s="3" t="s">
        <v>18</v>
      </c>
      <c r="B16" s="9"/>
      <c r="C16" s="9">
        <f>C14*(I12)</f>
        <v>0.21032365333965519</v>
      </c>
      <c r="D16" s="9">
        <f>D14*(I12)</f>
        <v>0.17615955473737607</v>
      </c>
      <c r="E16" s="9">
        <f t="shared" si="0"/>
        <v>0.38648320807703129</v>
      </c>
    </row>
    <row r="17" spans="1:8" x14ac:dyDescent="0.25">
      <c r="B17" s="9"/>
      <c r="C17" s="9"/>
      <c r="D17" s="9"/>
      <c r="E17" s="9"/>
    </row>
    <row r="18" spans="1:8" x14ac:dyDescent="0.25">
      <c r="A18" s="3" t="s">
        <v>11</v>
      </c>
      <c r="B18" s="9"/>
      <c r="C18" s="9"/>
      <c r="D18" s="9">
        <f>D3*I9</f>
        <v>0.94977299158226114</v>
      </c>
      <c r="E18" s="9">
        <f t="shared" si="0"/>
        <v>0.94977299158226114</v>
      </c>
      <c r="G18" t="s">
        <v>114</v>
      </c>
      <c r="H18">
        <v>1.22</v>
      </c>
    </row>
    <row r="19" spans="1:8" x14ac:dyDescent="0.25">
      <c r="A19" s="3" t="s">
        <v>19</v>
      </c>
      <c r="B19" s="9"/>
      <c r="C19" s="9"/>
      <c r="D19" s="9">
        <f>D$18*(1-I13)</f>
        <v>0.87379115225568027</v>
      </c>
      <c r="E19" s="9">
        <f t="shared" si="0"/>
        <v>0.87379115225568027</v>
      </c>
    </row>
    <row r="20" spans="1:8" x14ac:dyDescent="0.25">
      <c r="A20" s="3" t="s">
        <v>20</v>
      </c>
      <c r="B20" s="9"/>
      <c r="C20" s="9"/>
      <c r="D20" s="9">
        <f>D$18*(I13)</f>
        <v>7.5981839326580897E-2</v>
      </c>
      <c r="E20" s="9">
        <f t="shared" si="0"/>
        <v>7.5981839326580897E-2</v>
      </c>
    </row>
    <row r="21" spans="1:8" x14ac:dyDescent="0.25">
      <c r="B21" s="9"/>
      <c r="C21" s="9"/>
      <c r="D21" s="9"/>
      <c r="E21" s="9"/>
    </row>
    <row r="22" spans="1:8" x14ac:dyDescent="0.25">
      <c r="B22" s="9"/>
      <c r="C22" s="9"/>
      <c r="D22" s="9"/>
      <c r="E22" s="9"/>
    </row>
    <row r="23" spans="1:8" x14ac:dyDescent="0.25">
      <c r="A23" s="3" t="s">
        <v>28</v>
      </c>
      <c r="B23" s="9">
        <f>SUM(B15:B16)+SUM(B11:B12)</f>
        <v>4.2982451621579507</v>
      </c>
      <c r="C23" s="9">
        <f>SUM(C15:C16)+SUM(C11:C12)</f>
        <v>7.2365694102551341</v>
      </c>
      <c r="D23" s="9">
        <f>SUM(D15:D16)+SUM(D19:D20)</f>
        <v>3.466338059259062</v>
      </c>
      <c r="E23" s="9">
        <f>SUM(B23:D23)</f>
        <v>15.001152631672147</v>
      </c>
    </row>
    <row r="24" spans="1:8" x14ac:dyDescent="0.25">
      <c r="A24" s="3"/>
      <c r="B24" s="9"/>
      <c r="C24" s="9"/>
      <c r="D24" s="9"/>
      <c r="E24" s="9"/>
    </row>
    <row r="25" spans="1:8" x14ac:dyDescent="0.25">
      <c r="A25" s="3" t="s">
        <v>23</v>
      </c>
      <c r="B25" s="9">
        <f>B6*$I2</f>
        <v>0.2050232235499376</v>
      </c>
      <c r="C25" s="9">
        <f t="shared" ref="C25:D25" si="1">C6*$I2</f>
        <v>0.27325052132531091</v>
      </c>
      <c r="D25" s="9">
        <f t="shared" si="1"/>
        <v>0.23731826822584226</v>
      </c>
      <c r="E25" s="9">
        <f>SUM(B25:D25)</f>
        <v>0.71559201310109077</v>
      </c>
    </row>
    <row r="26" spans="1:8" x14ac:dyDescent="0.25">
      <c r="A26" s="3" t="s">
        <v>24</v>
      </c>
      <c r="B26" s="9">
        <f>B25*$I3</f>
        <v>0.13941579201395757</v>
      </c>
      <c r="C26" s="9">
        <f t="shared" ref="C26:D26" si="2">C25*$I3</f>
        <v>0.18581035450121144</v>
      </c>
      <c r="D26" s="9">
        <f t="shared" si="2"/>
        <v>0.16137642239357275</v>
      </c>
      <c r="E26" s="9">
        <f>SUM(B26:D26)</f>
        <v>0.48660256890874176</v>
      </c>
      <c r="G26">
        <f>E26*E49</f>
        <v>0.48827647518794504</v>
      </c>
    </row>
    <row r="27" spans="1:8" x14ac:dyDescent="0.25">
      <c r="A27" s="3" t="s">
        <v>25</v>
      </c>
      <c r="B27" s="9">
        <f>B25*(1-$I3)</f>
        <v>6.5607431535980018E-2</v>
      </c>
      <c r="C27" s="9">
        <f t="shared" ref="C27:D27" si="3">C25*(1-$I3)</f>
        <v>8.7440166824099483E-2</v>
      </c>
      <c r="D27" s="9">
        <f t="shared" si="3"/>
        <v>7.5941845832269511E-2</v>
      </c>
      <c r="E27" s="9">
        <f t="shared" ref="E27:E31" si="4">SUM(B27:D27)</f>
        <v>0.22898944419234901</v>
      </c>
      <c r="G27">
        <f>E27*1.21</f>
        <v>0.27707722747274227</v>
      </c>
    </row>
    <row r="28" spans="1:8" x14ac:dyDescent="0.25">
      <c r="A28" s="3"/>
      <c r="B28" s="9"/>
      <c r="C28" s="9"/>
      <c r="D28" s="9"/>
      <c r="E28" s="9"/>
    </row>
    <row r="29" spans="1:8" x14ac:dyDescent="0.25">
      <c r="A29" s="3" t="s">
        <v>22</v>
      </c>
      <c r="B29" s="9">
        <f>B2-B25</f>
        <v>6.4335272104918989E-2</v>
      </c>
      <c r="C29" s="9">
        <f t="shared" ref="C29:D29" si="5">C2-C25</f>
        <v>0.29733782057129532</v>
      </c>
      <c r="D29" s="9">
        <f t="shared" si="5"/>
        <v>0.4821124776234319</v>
      </c>
      <c r="E29" s="9">
        <f t="shared" si="4"/>
        <v>0.84378557029964618</v>
      </c>
      <c r="G29">
        <f>22*E49</f>
        <v>22.075679703510524</v>
      </c>
    </row>
    <row r="30" spans="1:8" x14ac:dyDescent="0.25">
      <c r="A30" s="3" t="s">
        <v>26</v>
      </c>
      <c r="B30" s="9">
        <f>B29*($I3)</f>
        <v>4.3747985031344916E-2</v>
      </c>
      <c r="C30" s="9">
        <f t="shared" ref="C30" si="6">C29*($I3)</f>
        <v>0.20218971798848084</v>
      </c>
      <c r="D30" s="9">
        <f>D29*($I3)</f>
        <v>0.32783648478393373</v>
      </c>
      <c r="E30" s="9">
        <f t="shared" si="4"/>
        <v>0.57377418780375944</v>
      </c>
      <c r="G30">
        <f>E30*E49</f>
        <v>0.5757479632771676</v>
      </c>
    </row>
    <row r="31" spans="1:8" x14ac:dyDescent="0.25">
      <c r="A31" s="3" t="s">
        <v>27</v>
      </c>
      <c r="B31" s="9">
        <f>B29*(1-$I3)</f>
        <v>2.0587287073574073E-2</v>
      </c>
      <c r="C31" s="9">
        <f t="shared" ref="C31:D31" si="7">C29*(1-$I3)</f>
        <v>9.5148102582814489E-2</v>
      </c>
      <c r="D31" s="9">
        <f t="shared" si="7"/>
        <v>0.15427599283949819</v>
      </c>
      <c r="E31" s="9">
        <f t="shared" si="4"/>
        <v>0.27001138249588674</v>
      </c>
    </row>
    <row r="32" spans="1:8" x14ac:dyDescent="0.25">
      <c r="A32" s="3"/>
      <c r="B32" s="9"/>
      <c r="C32" s="9"/>
      <c r="D32" s="9"/>
      <c r="E32" s="9"/>
    </row>
    <row r="33" spans="1:11" x14ac:dyDescent="0.25">
      <c r="A33" s="3" t="s">
        <v>29</v>
      </c>
      <c r="B33" s="9">
        <f>SUM(B11:B12,B15:B16,B26:B27,B30:B31)</f>
        <v>4.567603657812807</v>
      </c>
      <c r="C33" s="9">
        <f>SUM(C11:C12,C15:C16,C26:C27,C30:C31)</f>
        <v>7.8071577521517401</v>
      </c>
      <c r="D33" s="9">
        <f>SUM(D11:D12,D15:D16,D30:D31,D19:D20)</f>
        <v>3.9484505368824943</v>
      </c>
      <c r="E33" s="9">
        <f>SUM(B33:D33)</f>
        <v>16.323211946847042</v>
      </c>
    </row>
    <row r="34" spans="1:11" x14ac:dyDescent="0.25">
      <c r="A34" s="3"/>
      <c r="B34" s="9"/>
      <c r="C34" s="9"/>
      <c r="D34" s="9"/>
      <c r="E34" s="9"/>
    </row>
    <row r="35" spans="1:11" x14ac:dyDescent="0.25">
      <c r="A35" s="3" t="s">
        <v>59</v>
      </c>
      <c r="B35" s="9">
        <f>B4</f>
        <v>3.0271361942572905E-2</v>
      </c>
      <c r="C35" s="9">
        <f t="shared" ref="C35:D35" si="8">C4</f>
        <v>1.4765740788097195</v>
      </c>
      <c r="D35" s="9">
        <f t="shared" si="8"/>
        <v>6.3853780054327789</v>
      </c>
      <c r="E35" s="9">
        <f t="shared" ref="E35" si="9">SUM(B35:D35)</f>
        <v>7.8922234461850715</v>
      </c>
    </row>
    <row r="36" spans="1:11" x14ac:dyDescent="0.25">
      <c r="A36" s="3"/>
      <c r="B36" s="9"/>
      <c r="C36" s="9"/>
      <c r="D36" s="9"/>
      <c r="E36" s="9"/>
    </row>
    <row r="37" spans="1:11" x14ac:dyDescent="0.25">
      <c r="A37" s="3"/>
      <c r="B37" s="9"/>
      <c r="C37" s="9"/>
      <c r="D37" s="9"/>
      <c r="E37" s="9"/>
    </row>
    <row r="38" spans="1:11" x14ac:dyDescent="0.25">
      <c r="A38" s="3"/>
      <c r="B38" s="9"/>
      <c r="C38" s="9"/>
      <c r="D38" s="9"/>
      <c r="E38" s="9"/>
    </row>
    <row r="39" spans="1:11" x14ac:dyDescent="0.25">
      <c r="B39" s="9"/>
      <c r="C39" s="9"/>
      <c r="D39" s="9"/>
      <c r="E39" s="9"/>
    </row>
    <row r="40" spans="1:11" x14ac:dyDescent="0.25">
      <c r="A40" s="2" t="s">
        <v>35</v>
      </c>
      <c r="B40" s="9"/>
      <c r="C40" s="9"/>
      <c r="D40" s="9"/>
      <c r="E40" s="9"/>
    </row>
    <row r="41" spans="1:11" x14ac:dyDescent="0.25">
      <c r="A41" s="4" t="s">
        <v>31</v>
      </c>
      <c r="B41" s="9"/>
      <c r="C41" s="9"/>
      <c r="D41" s="9"/>
      <c r="E41" s="9"/>
      <c r="G41" s="3"/>
      <c r="H41" t="s">
        <v>150</v>
      </c>
    </row>
    <row r="42" spans="1:11" x14ac:dyDescent="0.25">
      <c r="A42" s="3" t="s">
        <v>21</v>
      </c>
      <c r="B42" s="9">
        <f>SUM(B11,B15)</f>
        <v>3.7635434639855019</v>
      </c>
      <c r="C42" s="9">
        <f>SUM(C11,C15)</f>
        <v>6.4997917005004986</v>
      </c>
      <c r="D42" s="9">
        <f>SUM(D15,D19)</f>
        <v>3.2141966651951051</v>
      </c>
      <c r="E42" s="9">
        <f>SUM(B42:D42)</f>
        <v>13.477531829681107</v>
      </c>
      <c r="F42">
        <f>E42/E$46</f>
        <v>0.81758574893750702</v>
      </c>
      <c r="H42" t="s">
        <v>151</v>
      </c>
      <c r="I42">
        <v>1.5</v>
      </c>
      <c r="J42" s="9">
        <f>E43+E44</f>
        <v>2.5080157193769619</v>
      </c>
      <c r="K42">
        <f>ABS(J42-I42)/J42</f>
        <v>0.4019176241955022</v>
      </c>
    </row>
    <row r="43" spans="1:11" x14ac:dyDescent="0.25">
      <c r="A43" s="3" t="s">
        <v>48</v>
      </c>
      <c r="B43" s="9">
        <f>SUM(B12,B16)</f>
        <v>0.53470169817244906</v>
      </c>
      <c r="C43" s="9">
        <f>SUM(C12,C16)</f>
        <v>0.7367777097546353</v>
      </c>
      <c r="D43" s="9">
        <f>SUM(D12,D16)</f>
        <v>0.17615955473737607</v>
      </c>
      <c r="E43" s="10">
        <f>SUM(B43:D43)</f>
        <v>1.4476389626644603</v>
      </c>
      <c r="F43">
        <f>E43/E$46</f>
        <v>8.7817932870661461E-2</v>
      </c>
      <c r="H43" t="s">
        <v>21</v>
      </c>
      <c r="I43">
        <f>0.95*E48-I42</f>
        <v>14.214192249999998</v>
      </c>
      <c r="J43" s="9">
        <f>E42</f>
        <v>13.477531829681107</v>
      </c>
      <c r="K43">
        <f>ABS(J43-I43)/J43</f>
        <v>5.4658407016080594E-2</v>
      </c>
    </row>
    <row r="44" spans="1:11" x14ac:dyDescent="0.25">
      <c r="A44" s="3" t="s">
        <v>49</v>
      </c>
      <c r="B44" s="9">
        <f>SUM(B26,B30)</f>
        <v>0.18316377704530248</v>
      </c>
      <c r="C44" s="9">
        <f t="shared" ref="C44:D44" si="10">SUM(C26,C30)</f>
        <v>0.38800007248969226</v>
      </c>
      <c r="D44" s="9">
        <f t="shared" si="10"/>
        <v>0.48921290717750648</v>
      </c>
      <c r="E44" s="9">
        <f>SUM(B44:D44)</f>
        <v>1.0603767567125013</v>
      </c>
      <c r="F44">
        <f>E44/E$46</f>
        <v>6.4325496370445448E-2</v>
      </c>
    </row>
    <row r="45" spans="1:11" x14ac:dyDescent="0.25">
      <c r="A45" s="3" t="s">
        <v>32</v>
      </c>
      <c r="B45" s="9">
        <f>SUM(B27,B31)</f>
        <v>8.6194718609554091E-2</v>
      </c>
      <c r="C45" s="9">
        <f t="shared" ref="C45" si="11">SUM(C27,C31)</f>
        <v>0.18258826940691397</v>
      </c>
      <c r="D45" s="9">
        <f>SUM(D27,D31)</f>
        <v>0.2302178386717677</v>
      </c>
      <c r="E45" s="9">
        <f t="shared" ref="E45" si="12">SUM(B45:D45)</f>
        <v>0.49900082668823575</v>
      </c>
      <c r="F45">
        <f>E45/E$46</f>
        <v>3.0270821821386084E-2</v>
      </c>
    </row>
    <row r="46" spans="1:11" x14ac:dyDescent="0.25">
      <c r="A46" s="3" t="s">
        <v>30</v>
      </c>
      <c r="B46" s="9">
        <f>SUM(B42:B45)</f>
        <v>4.567603657812807</v>
      </c>
      <c r="C46" s="9">
        <f t="shared" ref="C46:D46" si="13">SUM(C42:C45)</f>
        <v>7.8071577521517401</v>
      </c>
      <c r="D46" s="9">
        <f t="shared" si="13"/>
        <v>4.1097869657817556</v>
      </c>
      <c r="E46" s="9">
        <f>SUM(B46:D46)</f>
        <v>16.484548375746304</v>
      </c>
    </row>
    <row r="48" spans="1:11" x14ac:dyDescent="0.25">
      <c r="A48" s="4"/>
      <c r="E48">
        <f>16.541255</f>
        <v>16.541255</v>
      </c>
    </row>
    <row r="49" spans="2:5" x14ac:dyDescent="0.25">
      <c r="E49">
        <f>E48/E46</f>
        <v>1.0034399865232055</v>
      </c>
    </row>
    <row r="52" spans="2:5" x14ac:dyDescent="0.25">
      <c r="B52">
        <f>B29/B2</f>
        <v>0.23884627046386242</v>
      </c>
      <c r="C52">
        <f t="shared" ref="C52:D52" si="14">C29/C2</f>
        <v>0.52110742323083525</v>
      </c>
      <c r="D52">
        <f t="shared" si="14"/>
        <v>0.67013048914709283</v>
      </c>
    </row>
    <row r="53" spans="2:5" x14ac:dyDescent="0.25">
      <c r="B53">
        <f>B25/B2</f>
        <v>0.76115372953613758</v>
      </c>
      <c r="C53">
        <f t="shared" ref="C53:D53" si="15">C25/C2</f>
        <v>0.47889257676916475</v>
      </c>
      <c r="D53">
        <f t="shared" si="15"/>
        <v>0.32986951085290722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7"/>
  <sheetViews>
    <sheetView workbookViewId="0">
      <selection activeCell="C6" sqref="C6"/>
    </sheetView>
  </sheetViews>
  <sheetFormatPr defaultRowHeight="15" x14ac:dyDescent="0.25"/>
  <cols>
    <col min="2" max="2" width="16.140625" customWidth="1"/>
  </cols>
  <sheetData>
    <row r="1" spans="1:5" x14ac:dyDescent="0.25">
      <c r="B1">
        <v>2020</v>
      </c>
      <c r="C1" t="s">
        <v>45</v>
      </c>
      <c r="D1" t="s">
        <v>46</v>
      </c>
      <c r="E1">
        <v>2050</v>
      </c>
    </row>
    <row r="2" spans="1:5" x14ac:dyDescent="0.25">
      <c r="A2" t="s">
        <v>13</v>
      </c>
      <c r="B2" s="7">
        <f>Validate_2020!B2*Herd_decision_tree!E49</f>
        <v>8.5595346951947899</v>
      </c>
      <c r="C2">
        <f>[1]FAO_2019_animal_trends!$G$35/100</f>
        <v>3.8312009613345605E-3</v>
      </c>
      <c r="D2">
        <f>B2*C2*30</f>
        <v>0.9837989265842042</v>
      </c>
      <c r="E2">
        <f>B2+D2</f>
        <v>9.543333621778995</v>
      </c>
    </row>
    <row r="3" spans="1:5" x14ac:dyDescent="0.25">
      <c r="A3" t="s">
        <v>16</v>
      </c>
      <c r="B3" s="7">
        <f>Validate_2020!B3*Herd_decision_tree!E49</f>
        <v>5.5401815014894495</v>
      </c>
      <c r="C3">
        <f>[1]FAO_2019_animal_trends!$G36/100</f>
        <v>2.7950424483806725E-2</v>
      </c>
      <c r="D3">
        <f t="shared" ref="D3:D7" si="0">B3*C3*30</f>
        <v>4.6455127405189147</v>
      </c>
      <c r="E3">
        <f t="shared" ref="E3:E7" si="1">B3+D3</f>
        <v>10.185694242008363</v>
      </c>
    </row>
    <row r="4" spans="1:5" x14ac:dyDescent="0.25">
      <c r="A4" t="s">
        <v>11</v>
      </c>
      <c r="B4" s="7">
        <f>Validate_2020!B4*Herd_decision_tree!E49</f>
        <v>0.95304019787340877</v>
      </c>
      <c r="C4">
        <f>[1]FAO_2019_animal_trends!$G39/100</f>
        <v>7.6101823708206687E-2</v>
      </c>
      <c r="D4">
        <f t="shared" si="0"/>
        <v>2.1758429137618971</v>
      </c>
      <c r="E4">
        <f t="shared" si="1"/>
        <v>3.128883111635306</v>
      </c>
    </row>
    <row r="5" spans="1:5" x14ac:dyDescent="0.25">
      <c r="A5" t="s">
        <v>42</v>
      </c>
      <c r="B5" s="7">
        <f>Validate_2020!B5*Herd_decision_tree!E49</f>
        <v>0.84668818128995227</v>
      </c>
      <c r="C5">
        <f>[1]FAO_2019_animal_trends!$G38/100</f>
        <v>1.0372340425531916E-2</v>
      </c>
      <c r="D5">
        <f t="shared" si="0"/>
        <v>0.26346414151841602</v>
      </c>
      <c r="E5">
        <f t="shared" si="1"/>
        <v>1.1101523228083683</v>
      </c>
    </row>
    <row r="6" spans="1:5" x14ac:dyDescent="0.25">
      <c r="A6" t="s">
        <v>23</v>
      </c>
      <c r="B6" s="7">
        <f>Validate_2020!B6*Herd_decision_tree!E49</f>
        <v>0.71805363998227201</v>
      </c>
      <c r="C6">
        <f>[1]FAO_2019_animal_trends!$G37/100</f>
        <v>0.86466565349544067</v>
      </c>
      <c r="D6">
        <f t="shared" si="0"/>
        <v>18.626289595801534</v>
      </c>
      <c r="E6">
        <f t="shared" si="1"/>
        <v>19.344343235783807</v>
      </c>
    </row>
    <row r="7" spans="1:5" x14ac:dyDescent="0.25">
      <c r="A7" t="s">
        <v>59</v>
      </c>
      <c r="B7">
        <f>Herd_decision_tree!E35</f>
        <v>7.8922234461850715</v>
      </c>
      <c r="C7">
        <f>[1]FAO_2019_animal_trends!$G39/100</f>
        <v>7.6101823708206687E-2</v>
      </c>
      <c r="D7">
        <f t="shared" si="0"/>
        <v>18.018377921020551</v>
      </c>
      <c r="E7">
        <f t="shared" si="1"/>
        <v>25.910601367205622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D3D0-4020-4418-A256-3E770B560826}">
  <dimension ref="A1:M8"/>
  <sheetViews>
    <sheetView workbookViewId="0">
      <selection activeCell="F8" sqref="F8"/>
    </sheetView>
  </sheetViews>
  <sheetFormatPr defaultRowHeight="15" x14ac:dyDescent="0.25"/>
  <sheetData>
    <row r="1" spans="1:13" x14ac:dyDescent="0.25">
      <c r="B1">
        <v>2020</v>
      </c>
      <c r="G1">
        <v>2050</v>
      </c>
      <c r="L1" t="s">
        <v>56</v>
      </c>
    </row>
    <row r="2" spans="1:13" x14ac:dyDescent="0.25">
      <c r="B2" t="s">
        <v>54</v>
      </c>
      <c r="C2" t="s">
        <v>55</v>
      </c>
      <c r="D2" t="s">
        <v>3</v>
      </c>
      <c r="E2" t="s">
        <v>56</v>
      </c>
      <c r="G2" t="s">
        <v>54</v>
      </c>
      <c r="H2" t="s">
        <v>55</v>
      </c>
      <c r="I2" t="s">
        <v>3</v>
      </c>
      <c r="J2" t="s">
        <v>57</v>
      </c>
      <c r="M2" t="s">
        <v>57</v>
      </c>
    </row>
    <row r="3" spans="1:13" x14ac:dyDescent="0.25">
      <c r="A3" t="s">
        <v>13</v>
      </c>
      <c r="B3">
        <f>[14]Pastoral_Zebu_2020!$K$2</f>
        <v>7912803.5780913802</v>
      </c>
      <c r="C3">
        <f>[15]Pastoral_Boran_2020!$K$2</f>
        <v>1124203.7226895699</v>
      </c>
      <c r="D3">
        <f>SUM(B3:C3)/1000000</f>
        <v>9.0370073007809495</v>
      </c>
      <c r="E3">
        <f>Herd_decision_tree!E10*Herd_decision_tree!$E$49</f>
        <v>8.5595346951947899</v>
      </c>
      <c r="G3">
        <f>[16]Pastoral_Zebu_2050!$K$2</f>
        <v>8554757.4814370908</v>
      </c>
      <c r="H3">
        <f>[17]Pastoral_Boran_2050!$K$2</f>
        <v>1215408.67359516</v>
      </c>
      <c r="I3">
        <f>SUM(G3:H3)/1000000</f>
        <v>9.7701661550322516</v>
      </c>
      <c r="J3">
        <f>I3/D3</f>
        <v>1.0811285008243763</v>
      </c>
      <c r="L3">
        <f>E3+E3*30*Validate_2020!G2/100</f>
        <v>9.5433336217789932</v>
      </c>
      <c r="M3">
        <f>L3/E3</f>
        <v>1.1149360288400367</v>
      </c>
    </row>
    <row r="4" spans="1:13" x14ac:dyDescent="0.25">
      <c r="A4" t="s">
        <v>16</v>
      </c>
      <c r="B4">
        <f>[18]Agpastoral_Zebu_2020!$K$2</f>
        <v>3685141.0110471202</v>
      </c>
      <c r="C4">
        <f>[19]Agpastoral_Boran_2020!$K$2</f>
        <v>277376.20390618598</v>
      </c>
      <c r="D4">
        <f>SUM(B4:C4)/1000000</f>
        <v>3.9625172149533063</v>
      </c>
      <c r="E4">
        <f>Herd_decision_tree!E14*Herd_decision_tree!$E$49</f>
        <v>5.5401815014894495</v>
      </c>
      <c r="G4">
        <f>[20]Agpastoral_Zebu_2050!$K$2</f>
        <v>6488770.1197828101</v>
      </c>
      <c r="H4">
        <f>[21]Agpastoral_Boran_2050!$K$2</f>
        <v>488402.05019366002</v>
      </c>
      <c r="I4">
        <f t="shared" ref="I4:I7" si="0">SUM(G4:H4)/1000000</f>
        <v>6.9771721699764697</v>
      </c>
      <c r="J4">
        <f t="shared" ref="J4:J7" si="1">I4/D4</f>
        <v>1.7607928979202396</v>
      </c>
      <c r="L4">
        <f>E4+E4*30*Validate_2020!G3/100</f>
        <v>10.185694242008363</v>
      </c>
      <c r="M4">
        <f t="shared" ref="M4:M6" si="2">L4/E4</f>
        <v>1.8385127345142016</v>
      </c>
    </row>
    <row r="5" spans="1:13" x14ac:dyDescent="0.25">
      <c r="A5" t="s">
        <v>11</v>
      </c>
      <c r="B5">
        <f>[22]Mixed_Zebu_2020!$K$2</f>
        <v>298374.71550379699</v>
      </c>
      <c r="C5">
        <f>[23]Mixed_Boran_2020!$K$2</f>
        <v>25945.627401560501</v>
      </c>
      <c r="D5">
        <f>SUM(B5:C5)/1000000</f>
        <v>0.32432034290535749</v>
      </c>
      <c r="E5">
        <f>Herd_decision_tree!E18*Herd_decision_tree!$E$49</f>
        <v>0.95304019787340877</v>
      </c>
      <c r="G5">
        <f>[24]Mixed_Zebu_2050!$K$2</f>
        <v>404262.59496554697</v>
      </c>
      <c r="H5">
        <f>[25]Mixed_Boran_2050!$K$2</f>
        <v>35153.269665965803</v>
      </c>
      <c r="I5">
        <f t="shared" si="0"/>
        <v>0.43941586463151278</v>
      </c>
      <c r="J5">
        <f t="shared" si="1"/>
        <v>1.3548822152045585</v>
      </c>
      <c r="L5">
        <f>E5+E5*30*Validate_2020!G4/100</f>
        <v>1.3403334773726872</v>
      </c>
      <c r="M5">
        <f t="shared" si="2"/>
        <v>1.4063766464032423</v>
      </c>
    </row>
    <row r="6" spans="1:13" x14ac:dyDescent="0.25">
      <c r="A6" t="s">
        <v>42</v>
      </c>
      <c r="B6">
        <f>[26]Cowcalf_Boran_2020!$K$2</f>
        <v>1184753.34766715</v>
      </c>
      <c r="C6">
        <f>[27]Cowcalf_Exotic_2020!$K$2</f>
        <v>985977.36353097099</v>
      </c>
      <c r="D6">
        <f t="shared" ref="D6:D7" si="3">SUM(B6:C6)/1000000</f>
        <v>2.1707307111981207</v>
      </c>
      <c r="E6">
        <f>Herd_decision_tree!E29*Herd_decision_tree!$E$49</f>
        <v>0.84668818128995227</v>
      </c>
      <c r="G6">
        <f>[28]Cowcalf_Boran_2050!$K$2</f>
        <v>1806208.69891036</v>
      </c>
      <c r="H6">
        <f>[29]Cowcalf_Exotic_2050!$K$2</f>
        <v>1503165.94333724</v>
      </c>
      <c r="I6">
        <f t="shared" si="0"/>
        <v>3.3093746422476</v>
      </c>
      <c r="J6">
        <f t="shared" si="1"/>
        <v>1.5245440741108842</v>
      </c>
      <c r="L6">
        <f>E6+E6*30*Validate_2020!G5/100</f>
        <v>1.1101523228083683</v>
      </c>
      <c r="M6">
        <f t="shared" si="2"/>
        <v>1.3111702127659575</v>
      </c>
    </row>
    <row r="7" spans="1:13" x14ac:dyDescent="0.25">
      <c r="A7" t="s">
        <v>23</v>
      </c>
      <c r="B7">
        <f>[30]Finisher_Boran_2020!$K$2</f>
        <v>26321.876059999999</v>
      </c>
      <c r="C7">
        <f>[31]Finisher_Exotic_2020!$K$2</f>
        <v>12386.7653238613</v>
      </c>
      <c r="D7">
        <f t="shared" si="3"/>
        <v>3.8708641383861299E-2</v>
      </c>
      <c r="E7">
        <f>Herd_decision_tree!E25*Herd_decision_tree!$E$49</f>
        <v>0.71805363998227201</v>
      </c>
      <c r="G7">
        <f>[32]Finisher_Boran_2050!$K$2</f>
        <v>918345.45531155204</v>
      </c>
      <c r="H7">
        <f>[33]Finisher_Exotic_2050!$K$2</f>
        <v>432162.57168335503</v>
      </c>
      <c r="I7">
        <f t="shared" si="0"/>
        <v>1.350508026994907</v>
      </c>
      <c r="J7">
        <f t="shared" si="1"/>
        <v>34.889057810175977</v>
      </c>
      <c r="L7">
        <f>E7+E7*30*Validate_2020!G6/100</f>
        <v>19.344343235783803</v>
      </c>
      <c r="M7">
        <f>L7/E7</f>
        <v>26.939969604863219</v>
      </c>
    </row>
    <row r="8" spans="1:13" x14ac:dyDescent="0.25">
      <c r="D8">
        <f>SUM(D3:D7)</f>
        <v>15.533284211221597</v>
      </c>
      <c r="E8">
        <f>SUM(E3:E7)</f>
        <v>16.617498215829873</v>
      </c>
      <c r="G8">
        <f>SUM(G3:G7)</f>
        <v>18172344.350407358</v>
      </c>
      <c r="H8">
        <f t="shared" ref="H8:I8" si="4">SUM(H3:H7)</f>
        <v>3674292.5084753809</v>
      </c>
      <c r="I8">
        <f t="shared" si="4"/>
        <v>21.846636858882739</v>
      </c>
      <c r="J8">
        <f>I8/D8</f>
        <v>1.4064402969656753</v>
      </c>
      <c r="L8">
        <f>SUM(L3:L7)</f>
        <v>41.523856899752218</v>
      </c>
      <c r="M8">
        <f>L8/E8</f>
        <v>2.4988031507773223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91AA-CE3C-44BE-AF6B-8649852BC25F}">
  <dimension ref="A1:L30"/>
  <sheetViews>
    <sheetView workbookViewId="0">
      <selection activeCell="E21" sqref="E21"/>
    </sheetView>
  </sheetViews>
  <sheetFormatPr defaultRowHeight="15" x14ac:dyDescent="0.25"/>
  <cols>
    <col min="1" max="1" width="17.7109375" customWidth="1"/>
    <col min="2" max="2" width="32.85546875" customWidth="1"/>
    <col min="3" max="3" width="16.42578125" customWidth="1"/>
    <col min="4" max="4" width="18.85546875" bestFit="1" customWidth="1"/>
    <col min="5" max="5" width="14.28515625" customWidth="1"/>
    <col min="6" max="6" width="12.28515625" bestFit="1" customWidth="1"/>
    <col min="7" max="8" width="11.5703125" bestFit="1" customWidth="1"/>
    <col min="11" max="11" width="16.42578125" customWidth="1"/>
    <col min="12" max="12" width="9.5703125" bestFit="1" customWidth="1"/>
  </cols>
  <sheetData>
    <row r="1" spans="1:12" x14ac:dyDescent="0.25">
      <c r="A1" t="s">
        <v>64</v>
      </c>
      <c r="C1" t="s">
        <v>0</v>
      </c>
      <c r="D1" t="s">
        <v>58</v>
      </c>
      <c r="E1" t="s">
        <v>2</v>
      </c>
    </row>
    <row r="2" spans="1:12" x14ac:dyDescent="0.25">
      <c r="A2" t="s">
        <v>88</v>
      </c>
      <c r="B2" t="s">
        <v>85</v>
      </c>
      <c r="C2" s="12">
        <f>[34]ZS_Grassland_Arid!$D$2*L15</f>
        <v>7105918.9949999992</v>
      </c>
      <c r="D2" s="12">
        <f>[35]ZS_Grassland_SArid!$D$2*L15</f>
        <v>4556839.63</v>
      </c>
      <c r="E2" s="12">
        <f>[36]ZS_Grassland_Humid!$E$2*L15</f>
        <v>2262153.4458035277</v>
      </c>
    </row>
    <row r="3" spans="1:12" x14ac:dyDescent="0.25">
      <c r="B3" t="s">
        <v>86</v>
      </c>
      <c r="C3" s="12">
        <f>[37]ZS_Cropland_Arid!$D$2*L15</f>
        <v>18395.019999999997</v>
      </c>
      <c r="D3" s="12">
        <f>[38]ZS_Cropland_SArid!$D$2*L15</f>
        <v>686372.96</v>
      </c>
      <c r="E3" s="12">
        <f>[39]ZS_Cropland_Humid!$E$2*L15</f>
        <v>950603.98551942373</v>
      </c>
    </row>
    <row r="4" spans="1:12" x14ac:dyDescent="0.25">
      <c r="B4" t="s">
        <v>87</v>
      </c>
      <c r="C4" s="12">
        <f>[40]ZS_Shrubland_Arid!$D$2*L15</f>
        <v>9755293.3449999988</v>
      </c>
      <c r="D4" s="12">
        <f>[41]ZS_Shrubland_SArid!$D$2*L15</f>
        <v>12549721.555</v>
      </c>
      <c r="E4" s="12">
        <f>[42]ZS_Shrubland_Humid!$E$2*L15</f>
        <v>2223118.4370185882</v>
      </c>
    </row>
    <row r="5" spans="1:12" x14ac:dyDescent="0.25">
      <c r="C5" s="12"/>
      <c r="D5" s="12"/>
      <c r="E5" s="12"/>
    </row>
    <row r="6" spans="1:12" x14ac:dyDescent="0.25">
      <c r="B6" s="1" t="s">
        <v>89</v>
      </c>
    </row>
    <row r="7" spans="1:12" x14ac:dyDescent="0.25">
      <c r="A7">
        <v>2020</v>
      </c>
      <c r="B7" t="s">
        <v>68</v>
      </c>
      <c r="C7" s="15">
        <f>[43]NPP_2020_GRASS_Arid!$E$2</f>
        <v>0.33293323112310402</v>
      </c>
      <c r="D7" s="15">
        <f>[44]NPP_2020_GRASS_SArid!$E$2</f>
        <v>0.48080803465972</v>
      </c>
      <c r="E7" s="14">
        <f>[45]filtered!$F$2</f>
        <v>0.88607168377191448</v>
      </c>
    </row>
    <row r="8" spans="1:12" x14ac:dyDescent="0.25">
      <c r="B8" t="s">
        <v>69</v>
      </c>
      <c r="C8" s="30">
        <f>[46]NPP_2020_CROP_Arid!$E$2</f>
        <v>0.97599038751874501</v>
      </c>
      <c r="D8" s="30">
        <f>[47]NPP_2020_CROP_SArid!$E$2</f>
        <v>0.71416468993051396</v>
      </c>
      <c r="E8" s="14">
        <f>[48]filtered!$F$2</f>
        <v>1.0193612610195171</v>
      </c>
    </row>
    <row r="9" spans="1:12" x14ac:dyDescent="0.25">
      <c r="B9" t="s">
        <v>70</v>
      </c>
      <c r="C9" s="15">
        <f>[49]NPP_2020_SHRUB_Arid!$E$2</f>
        <v>0.20100553202445001</v>
      </c>
      <c r="D9" s="15">
        <f>[50]NPP_2020_SHRUB_SArid!$E$2</f>
        <v>0.48842843619779902</v>
      </c>
      <c r="E9" s="14">
        <f>[51]filtered!$F$2</f>
        <v>0.9284507277249876</v>
      </c>
      <c r="L9" s="11"/>
    </row>
    <row r="10" spans="1:12" x14ac:dyDescent="0.25">
      <c r="C10" s="12"/>
      <c r="D10" s="12"/>
      <c r="E10" s="12"/>
      <c r="L10" s="11"/>
    </row>
    <row r="11" spans="1:12" x14ac:dyDescent="0.25">
      <c r="A11" t="s">
        <v>65</v>
      </c>
      <c r="B11" t="s">
        <v>68</v>
      </c>
      <c r="C11" s="15">
        <f>[52]NPP_2050_R4_GRASS_Arid!$E$2</f>
        <v>0.36084903504638699</v>
      </c>
      <c r="D11" s="15">
        <f>[53]NPP_2050_R4_GRASS_SArid!$E$2</f>
        <v>0.51075241024303597</v>
      </c>
      <c r="E11" s="15">
        <f>[54]filtered!$F$2</f>
        <v>0.90483097904137921</v>
      </c>
      <c r="F11">
        <f>C11/C7</f>
        <v>1.0838480551464114</v>
      </c>
      <c r="G11">
        <f t="shared" ref="G11:H13" si="0">D11/D7</f>
        <v>1.0622792745227487</v>
      </c>
      <c r="H11">
        <f t="shared" si="0"/>
        <v>1.0211713065805335</v>
      </c>
    </row>
    <row r="12" spans="1:12" x14ac:dyDescent="0.25">
      <c r="B12" t="s">
        <v>69</v>
      </c>
      <c r="C12" s="15">
        <f>[55]NPP_2050_R4_CROP_Arid!$E$2</f>
        <v>1.0384816436740301</v>
      </c>
      <c r="D12" s="15">
        <f>[56]NPP_2050_R4_CROP_SArid!$E$2</f>
        <v>0.72447113600000002</v>
      </c>
      <c r="E12" s="15">
        <f>[57]filtered!$F$2</f>
        <v>0.98649141647533578</v>
      </c>
      <c r="F12">
        <f t="shared" ref="F12:F13" si="1">C12/C8</f>
        <v>1.0640285569965051</v>
      </c>
      <c r="G12">
        <f t="shared" si="0"/>
        <v>1.0144314696803183</v>
      </c>
      <c r="H12">
        <f t="shared" si="0"/>
        <v>0.96775446958686029</v>
      </c>
    </row>
    <row r="13" spans="1:12" x14ac:dyDescent="0.25">
      <c r="B13" t="s">
        <v>70</v>
      </c>
      <c r="C13" s="15">
        <f>[58]NPP_2050_R4_SHRUB_Arid!$E$2</f>
        <v>0.21776707800273001</v>
      </c>
      <c r="D13" s="15">
        <f>[59]NPP_2050_R4_SHRUB_SArid!$E$2</f>
        <v>0.51075241024303597</v>
      </c>
      <c r="E13" s="15">
        <f>[60]filtered!$F$2</f>
        <v>0.90483097904137921</v>
      </c>
      <c r="F13">
        <f t="shared" si="1"/>
        <v>1.0833884809510672</v>
      </c>
      <c r="G13">
        <f t="shared" si="0"/>
        <v>1.0457057214338692</v>
      </c>
      <c r="H13">
        <f t="shared" si="0"/>
        <v>0.9745600407449897</v>
      </c>
    </row>
    <row r="14" spans="1:12" x14ac:dyDescent="0.25">
      <c r="C14" s="12"/>
      <c r="D14" s="12"/>
      <c r="E14" s="12"/>
    </row>
    <row r="15" spans="1:12" x14ac:dyDescent="0.25">
      <c r="A15" t="s">
        <v>66</v>
      </c>
      <c r="B15" t="s">
        <v>68</v>
      </c>
      <c r="C15" s="15">
        <f>[61]NPP_2050_R8_GRASS_Arid!$E$2</f>
        <v>0.38422689204237098</v>
      </c>
      <c r="D15" s="15">
        <f>[62]NPP_2050_R8_GRASS_SArid!$E$2</f>
        <v>0.51337712420869996</v>
      </c>
      <c r="E15" s="15">
        <f>[63]filtered!$F$2</f>
        <v>0.88457459938562355</v>
      </c>
      <c r="F15">
        <f>C15/C7</f>
        <v>1.1540659090900447</v>
      </c>
      <c r="G15">
        <f t="shared" ref="G15:H17" si="2">D15/D7</f>
        <v>1.0677382389668881</v>
      </c>
      <c r="H15">
        <f t="shared" si="2"/>
        <v>0.9983104252018099</v>
      </c>
      <c r="K15" t="s">
        <v>83</v>
      </c>
      <c r="L15">
        <f>35.105</f>
        <v>35.104999999999997</v>
      </c>
    </row>
    <row r="16" spans="1:12" x14ac:dyDescent="0.25">
      <c r="B16" t="s">
        <v>69</v>
      </c>
      <c r="C16" s="15">
        <f>[64]NPP_2050_R8_CROP_Arid!$E$2</f>
        <v>1.10532849796393</v>
      </c>
      <c r="D16" s="15">
        <f>[65]NPP_2050_R8_CROP_SArid!$E$2</f>
        <v>0.80695680840268103</v>
      </c>
      <c r="E16" s="15">
        <f>[66]filtered!$F$2</f>
        <v>1.0242825546815273</v>
      </c>
      <c r="F16">
        <f>C16/C8</f>
        <v>1.1325198609527298</v>
      </c>
      <c r="G16">
        <f t="shared" si="2"/>
        <v>1.1299309805994404</v>
      </c>
      <c r="H16">
        <f>E16/E12</f>
        <v>1.0383086335826586</v>
      </c>
      <c r="K16" t="s">
        <v>82</v>
      </c>
      <c r="L16">
        <f>L15</f>
        <v>35.104999999999997</v>
      </c>
    </row>
    <row r="17" spans="1:8" x14ac:dyDescent="0.25">
      <c r="B17" t="s">
        <v>70</v>
      </c>
      <c r="C17" s="15">
        <f>[67]NPP_2050_R8_SHRUB_Arid!$E$2</f>
        <v>0.231319877140652</v>
      </c>
      <c r="D17" s="15">
        <f>[68]NPP_2050_R8_SHRUB_SArid!$E$2</f>
        <v>0.51046846997934603</v>
      </c>
      <c r="E17" s="15">
        <f>[69]filtered!$F$2</f>
        <v>0.93416975929597834</v>
      </c>
      <c r="F17">
        <f t="shared" ref="F17" si="3">C17/C9</f>
        <v>1.1508134866283908</v>
      </c>
      <c r="G17">
        <f t="shared" si="2"/>
        <v>1.0451243870097306</v>
      </c>
      <c r="H17">
        <f t="shared" si="2"/>
        <v>1.0061597577558092</v>
      </c>
    </row>
    <row r="20" spans="1:8" x14ac:dyDescent="0.25">
      <c r="A20" s="16">
        <v>2020</v>
      </c>
      <c r="B20" t="s">
        <v>71</v>
      </c>
      <c r="C20" s="14">
        <f>10000*(1/1000)*(C2*C7+C3*C8*[70]Raster_logic!$I$95+C4*C9*[70]Raster_logic!$I$96)*(1/[70]Raster_logic!$I$89)*[70]Raster_logic!$I$90*[70]Raster_logic!$I$91/1000000</f>
        <v>11.151655030703209</v>
      </c>
      <c r="D20" s="14">
        <f>10000*(1/1000)*(D2*D7+D3*D8*[70]Raster_logic!$I$95+D4*D9*[70]Raster_logic!$I$96)*(1/[70]Raster_logic!$I$89)*[70]Raster_logic!$I$90*[70]Raster_logic!$I$91/1000000</f>
        <v>16.992868124083202</v>
      </c>
      <c r="E20" s="14">
        <f>10000*(1/1000)*(E2*E7+E3*E8*[70]Raster_logic!$I$95+E4*E9*[70]Raster_logic!$I$96)*(1/[70]Raster_logic!$I$89)*[70]Raster_logic!$I$90*[70]Raster_logic!$I$91/1000000</f>
        <v>11.163200176118997</v>
      </c>
    </row>
    <row r="21" spans="1:8" x14ac:dyDescent="0.25">
      <c r="B21" t="s">
        <v>72</v>
      </c>
      <c r="C21" s="14">
        <f>10000*(1/1000)*(C3*C8*[70]Raster_logic!$I$102)*(1/[70]Raster_logic!$I$98)*[70]Raster_logic!$I$99*[70]Raster_logic!$I$100/1000000</f>
        <v>6.2836769443752702E-2</v>
      </c>
      <c r="D21" s="14">
        <f>10000*(1/1000)*(D3*D8*[70]Raster_logic!$I$102)*(1/[70]Raster_logic!$I$98)*[70]Raster_logic!$I$99*[70]Raster_logic!$I$100/1000000</f>
        <v>1.7156416625428113</v>
      </c>
      <c r="E21" s="14">
        <f>10000*(1/1000)*(E3*E8*[70]Raster_logic!$I$102)*(1/[70]Raster_logic!$I$98)*[70]Raster_logic!$I$99*[70]Raster_logic!$I$100/1000000</f>
        <v>3.3915310709324049</v>
      </c>
    </row>
    <row r="22" spans="1:8" x14ac:dyDescent="0.25">
      <c r="B22" t="s">
        <v>73</v>
      </c>
      <c r="C22" s="14">
        <f>SUM(C20:C21)</f>
        <v>11.214491800146961</v>
      </c>
      <c r="D22" s="14">
        <f>SUM(D20:D21)</f>
        <v>18.708509786626013</v>
      </c>
      <c r="E22" s="14">
        <f>SUM(E20:E21)</f>
        <v>14.554731247051402</v>
      </c>
    </row>
    <row r="23" spans="1:8" x14ac:dyDescent="0.25">
      <c r="C23" s="14"/>
      <c r="D23" s="14"/>
      <c r="E23" s="14"/>
    </row>
    <row r="24" spans="1:8" x14ac:dyDescent="0.25">
      <c r="A24" t="s">
        <v>65</v>
      </c>
      <c r="B24" t="str">
        <f>B20</f>
        <v>BIOM GRASS Supply (MT/ha/yr)</v>
      </c>
      <c r="C24" s="14">
        <f>10000*(1/1000)*(C2*C11+C3*C12*[70]Raster_logic!$I$95+C4*C13*[70]Raster_logic!$I$96)*(1/[70]Raster_logic!$I$89)*[70]Raster_logic!$I$90*[70]Raster_logic!$I$91/1000000</f>
        <v>12.08499856893739</v>
      </c>
      <c r="D24" s="14">
        <f>10000*(1/1000)*(D2*D11+D3*D12*[70]Raster_logic!$I$95+D4*D13*[70]Raster_logic!$I$96)*(1/[70]Raster_logic!$I$89)*[70]Raster_logic!$I$90*[70]Raster_logic!$I$91/1000000</f>
        <v>17.87942136414706</v>
      </c>
      <c r="E24" s="14">
        <f>10000*(1/1000)*(E2*E11+E3*E12*[70]Raster_logic!$I$95+E4*E13*[70]Raster_logic!$I$96)*(1/[70]Raster_logic!$I$89)*[70]Raster_logic!$I$90*[70]Raster_logic!$I$91/1000000</f>
        <v>11.201390164452167</v>
      </c>
      <c r="F24" s="13">
        <f>C24/C20</f>
        <v>1.0836955174513971</v>
      </c>
      <c r="G24" s="13">
        <f t="shared" ref="G24:H26" si="4">D24/D20</f>
        <v>1.0521720779323525</v>
      </c>
      <c r="H24" s="13">
        <f t="shared" si="4"/>
        <v>1.0034210609619694</v>
      </c>
    </row>
    <row r="25" spans="1:8" x14ac:dyDescent="0.25">
      <c r="B25" t="str">
        <f t="shared" ref="B25:B26" si="5">B21</f>
        <v>BIOM CROP Supply (MT/ha/yr)</v>
      </c>
      <c r="C25" s="14">
        <f>10000*(1/1000)*(C3*C12*[70]Raster_logic!$I$102)*(1/[70]Raster_logic!$I$98)*[70]Raster_logic!$I$99*[70]Raster_logic!$I$100/1000000</f>
        <v>6.6860117117558279E-2</v>
      </c>
      <c r="D25" s="14">
        <f>10000*(1/1000)*(D3*D12*[70]Raster_logic!$I$102)*(1/[70]Raster_logic!$I$98)*[70]Raster_logic!$I$99*[70]Raster_logic!$I$100/1000000</f>
        <v>1.7404008931780892</v>
      </c>
      <c r="E25" s="14">
        <f>10000*(1/1000)*(E3*E12*[70]Raster_logic!$I$102)*(1/[70]Raster_logic!$I$98)*[70]Raster_logic!$I$99*[70]Raster_logic!$I$100/1000000</f>
        <v>3.2821693526375455</v>
      </c>
      <c r="F25" s="13">
        <f t="shared" ref="F25:F26" si="6">C25/C21</f>
        <v>1.0640285569965051</v>
      </c>
      <c r="G25" s="13">
        <f t="shared" si="4"/>
        <v>1.0144314696803185</v>
      </c>
      <c r="H25" s="13">
        <f t="shared" si="4"/>
        <v>0.96775446958686018</v>
      </c>
    </row>
    <row r="26" spans="1:8" x14ac:dyDescent="0.25">
      <c r="B26" t="str">
        <f t="shared" si="5"/>
        <v>BIOM Total (MT/ha/yr)</v>
      </c>
      <c r="C26" s="14">
        <f>SUM(C24:C25)</f>
        <v>12.151858686054949</v>
      </c>
      <c r="D26" s="14">
        <f t="shared" ref="D26:E26" si="7">SUM(D24:D25)</f>
        <v>19.619822257325151</v>
      </c>
      <c r="E26" s="14">
        <f t="shared" si="7"/>
        <v>14.483559517089713</v>
      </c>
      <c r="F26" s="13">
        <f t="shared" si="6"/>
        <v>1.0835853200138506</v>
      </c>
      <c r="G26" s="13">
        <f t="shared" si="4"/>
        <v>1.0487111202919326</v>
      </c>
      <c r="H26" s="13">
        <f t="shared" si="4"/>
        <v>0.99511006223655918</v>
      </c>
    </row>
    <row r="27" spans="1:8" x14ac:dyDescent="0.25">
      <c r="C27" s="14"/>
      <c r="D27" s="14"/>
      <c r="E27" s="14"/>
    </row>
    <row r="28" spans="1:8" x14ac:dyDescent="0.25">
      <c r="A28" t="s">
        <v>66</v>
      </c>
      <c r="B28" t="str">
        <f>B24</f>
        <v>BIOM GRASS Supply (MT/ha/yr)</v>
      </c>
      <c r="C28" s="14">
        <f>10000*(1/1000)*(C2*C15+C3*C16*[70]Raster_logic!$I$95+C4*C17*[70]Raster_logic!$I$96)*(1/[70]Raster_logic!$I$89)*[70]Raster_logic!$I$90*[70]Raster_logic!$I91/1000000</f>
        <v>12.860266920421276</v>
      </c>
      <c r="D28" s="14">
        <f>10000*(1/1000)*(D2*D15+D3*D16*[70]Raster_logic!$I$95+D4*D17*[70]Raster_logic!$I$96)*(1/[70]Raster_logic!$I$89)*[70]Raster_logic!$I$90*[70]Raster_logic!$I91/1000000</f>
        <v>17.984655853761279</v>
      </c>
      <c r="E28" s="14">
        <f>10000*(1/1000)*(E2*E15+E3*E16*[70]Raster_logic!$I$95+E4*E17*[70]Raster_logic!$I$96)*(1/[70]Raster_logic!$I$89)*[70]Raster_logic!$I$90*[70]Raster_logic!$I91/1000000</f>
        <v>11.174822947286316</v>
      </c>
      <c r="F28" s="13">
        <f>C28/C20</f>
        <v>1.153215992156666</v>
      </c>
      <c r="G28" s="13">
        <f t="shared" ref="G28:H28" si="8">D28/D20</f>
        <v>1.0583649400699144</v>
      </c>
      <c r="H28" s="13">
        <f t="shared" si="8"/>
        <v>1.0010411683911378</v>
      </c>
    </row>
    <row r="29" spans="1:8" x14ac:dyDescent="0.25">
      <c r="B29" t="str">
        <f t="shared" ref="B29:B30" si="9">B25</f>
        <v>BIOM CROP Supply (MT/ha/yr)</v>
      </c>
      <c r="C29" s="14">
        <f>10000*(1/1000)*(C3*C16*[70]Raster_logic!$I$102)*(1/[70]Raster_logic!$I$98)*[70]Raster_logic!$I$99*[70]Raster_logic!$I$100/1000000</f>
        <v>7.1163889393157556E-2</v>
      </c>
      <c r="D29" s="14">
        <f>10000*(1/1000)*(D3*D16*[70]Raster_logic!$I$102)*(1/[70]Raster_logic!$I$98)*[70]Raster_logic!$I$99*[70]Raster_logic!$I$100/1000000</f>
        <v>1.9385566661142535</v>
      </c>
      <c r="E29" s="14">
        <f>10000*(1/1000)*(E3*E16*[70]Raster_logic!$I$102)*(1/[70]Raster_logic!$I$98)*[70]Raster_logic!$I$99*[70]Raster_logic!$I$100/1000000</f>
        <v>3.4079047757239689</v>
      </c>
      <c r="F29" s="13">
        <f t="shared" ref="F29:F30" si="10">C29/C21</f>
        <v>1.1325198609527298</v>
      </c>
      <c r="G29" s="13">
        <f t="shared" ref="G29:G30" si="11">D29/D21</f>
        <v>1.1299309805994406</v>
      </c>
      <c r="H29" s="13">
        <f t="shared" ref="H29:H30" si="12">E29/E21</f>
        <v>1.0048278209602433</v>
      </c>
    </row>
    <row r="30" spans="1:8" x14ac:dyDescent="0.25">
      <c r="B30" t="str">
        <f t="shared" si="9"/>
        <v>BIOM Total (MT/ha/yr)</v>
      </c>
      <c r="C30" s="14">
        <f>SUM(C28:C29)</f>
        <v>12.931430809814433</v>
      </c>
      <c r="D30" s="14">
        <f>SUM(D28:D29)</f>
        <v>19.923212519875531</v>
      </c>
      <c r="E30" s="14">
        <f t="shared" ref="E30" si="13">SUM(E28:E29)</f>
        <v>14.582727723010285</v>
      </c>
      <c r="F30" s="13">
        <f t="shared" si="10"/>
        <v>1.1531000280944494</v>
      </c>
      <c r="G30" s="13">
        <f t="shared" si="11"/>
        <v>1.0649278187896003</v>
      </c>
      <c r="H30" s="13">
        <f t="shared" si="12"/>
        <v>1.0019235309456198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F49F-D7A7-4FDA-92DD-326744451984}">
  <dimension ref="A1:K318"/>
  <sheetViews>
    <sheetView workbookViewId="0">
      <selection activeCell="I4" sqref="I4"/>
    </sheetView>
  </sheetViews>
  <sheetFormatPr defaultRowHeight="15" x14ac:dyDescent="0.25"/>
  <cols>
    <col min="1" max="1" width="33.5703125" customWidth="1"/>
    <col min="2" max="2" width="27.5703125" customWidth="1"/>
    <col min="3" max="3" width="13.7109375" customWidth="1"/>
    <col min="4" max="4" width="17" customWidth="1"/>
    <col min="5" max="5" width="16.5703125" customWidth="1"/>
    <col min="6" max="6" width="11.28515625" customWidth="1"/>
    <col min="7" max="7" width="16.42578125" customWidth="1"/>
    <col min="8" max="8" width="35.140625" customWidth="1"/>
  </cols>
  <sheetData>
    <row r="1" spans="1:10" x14ac:dyDescent="0.25">
      <c r="A1" s="1" t="s">
        <v>64</v>
      </c>
      <c r="B1" s="1"/>
      <c r="C1" s="2" t="s">
        <v>0</v>
      </c>
      <c r="D1" s="2" t="s">
        <v>58</v>
      </c>
      <c r="E1" s="2" t="s">
        <v>2</v>
      </c>
      <c r="H1" t="s">
        <v>115</v>
      </c>
      <c r="I1" s="35">
        <v>195.24959913167186</v>
      </c>
      <c r="J1" s="31">
        <v>195.24959913167197</v>
      </c>
    </row>
    <row r="2" spans="1:10" x14ac:dyDescent="0.25">
      <c r="A2">
        <v>2020</v>
      </c>
      <c r="B2" t="s">
        <v>13</v>
      </c>
      <c r="C2">
        <f>Herd_decision_tree!B10</f>
        <v>4.2982451621579507</v>
      </c>
      <c r="D2">
        <f>Herd_decision_tree!C10</f>
        <v>4.2319457911172034</v>
      </c>
      <c r="E2">
        <v>0</v>
      </c>
      <c r="H2" t="s">
        <v>116</v>
      </c>
      <c r="I2" s="35">
        <v>196.27209999999999</v>
      </c>
      <c r="J2" s="31">
        <v>196.27212899829911</v>
      </c>
    </row>
    <row r="3" spans="1:10" x14ac:dyDescent="0.25">
      <c r="B3" t="s">
        <v>16</v>
      </c>
      <c r="C3">
        <v>0</v>
      </c>
      <c r="D3">
        <f>Herd_decision_tree!C14</f>
        <v>3.0046236191379312</v>
      </c>
      <c r="E3">
        <f>Herd_decision_tree!D14</f>
        <v>2.516565067676801</v>
      </c>
      <c r="H3" t="s">
        <v>117</v>
      </c>
      <c r="I3" s="35">
        <v>194.24809999999999</v>
      </c>
      <c r="J3" s="31">
        <v>194.24811741247032</v>
      </c>
    </row>
    <row r="4" spans="1:10" x14ac:dyDescent="0.25">
      <c r="B4" t="s">
        <v>11</v>
      </c>
      <c r="C4">
        <v>0</v>
      </c>
      <c r="D4">
        <v>0</v>
      </c>
      <c r="E4">
        <f>Herd_decision_tree!D18</f>
        <v>0.94977299158226114</v>
      </c>
      <c r="H4" t="s">
        <v>60</v>
      </c>
      <c r="I4">
        <v>201</v>
      </c>
    </row>
    <row r="5" spans="1:10" x14ac:dyDescent="0.25">
      <c r="B5" t="s">
        <v>22</v>
      </c>
      <c r="C5">
        <f>Herd_decision_tree!B29</f>
        <v>6.4335272104918989E-2</v>
      </c>
      <c r="D5">
        <f>Herd_decision_tree!C29</f>
        <v>0.29733782057129532</v>
      </c>
      <c r="E5">
        <f>Herd_decision_tree!D29</f>
        <v>0.4821124776234319</v>
      </c>
      <c r="H5" t="s">
        <v>80</v>
      </c>
      <c r="I5">
        <v>28</v>
      </c>
    </row>
    <row r="6" spans="1:10" x14ac:dyDescent="0.25">
      <c r="B6" t="s">
        <v>23</v>
      </c>
      <c r="C6">
        <f>Herd_decision_tree!B25</f>
        <v>0.2050232235499376</v>
      </c>
      <c r="D6">
        <f>Herd_decision_tree!C25</f>
        <v>0.27325052132531091</v>
      </c>
      <c r="E6">
        <f>Herd_decision_tree!D25</f>
        <v>0.23731826822584226</v>
      </c>
      <c r="H6" t="s">
        <v>90</v>
      </c>
      <c r="I6">
        <f>0.02</f>
        <v>0.02</v>
      </c>
    </row>
    <row r="7" spans="1:10" x14ac:dyDescent="0.25">
      <c r="B7" t="s">
        <v>59</v>
      </c>
      <c r="C7">
        <f>Herd_decision_tree!B35</f>
        <v>3.0271361942572905E-2</v>
      </c>
      <c r="D7">
        <f>Herd_decision_tree!C35</f>
        <v>1.4765740788097195</v>
      </c>
      <c r="E7">
        <f>Herd_decision_tree!D35</f>
        <v>6.3853780054327789</v>
      </c>
      <c r="H7" t="s">
        <v>91</v>
      </c>
      <c r="I7">
        <f>0.05</f>
        <v>0.05</v>
      </c>
    </row>
    <row r="8" spans="1:10" x14ac:dyDescent="0.25">
      <c r="B8" t="s">
        <v>79</v>
      </c>
      <c r="C8">
        <f>Herd_decision_tree!B5</f>
        <v>11.794047385286973</v>
      </c>
      <c r="D8">
        <f>Herd_decision_tree!C5</f>
        <v>9.6481198260451801</v>
      </c>
      <c r="E8">
        <f>Herd_decision_tree!D5</f>
        <v>9.0810136627013929</v>
      </c>
      <c r="H8" t="s">
        <v>92</v>
      </c>
      <c r="I8">
        <v>0.12</v>
      </c>
    </row>
    <row r="9" spans="1:10" x14ac:dyDescent="0.25">
      <c r="H9" t="s">
        <v>61</v>
      </c>
      <c r="I9">
        <f>0.02</f>
        <v>0.02</v>
      </c>
    </row>
    <row r="10" spans="1:10" x14ac:dyDescent="0.25">
      <c r="B10" t="s">
        <v>121</v>
      </c>
      <c r="C10">
        <f>SUM(C2:C6)*$I1*1000000</f>
        <v>891822783.1803087</v>
      </c>
      <c r="D10">
        <f>SUM(D2:D6)*$I1*1000000</f>
        <v>1524344421.4653516</v>
      </c>
      <c r="E10">
        <f>SUM(E2:E6)*$I1*1000000</f>
        <v>817269681.25525963</v>
      </c>
    </row>
    <row r="11" spans="1:10" x14ac:dyDescent="0.25">
      <c r="B11" t="s">
        <v>119</v>
      </c>
      <c r="C11">
        <f>SUM(C2:C6)*$I2*1000000</f>
        <v>896493161.88660097</v>
      </c>
      <c r="D11">
        <f>SUM(D2:D6)*$I2*1000000</f>
        <v>1532327247.0461016</v>
      </c>
      <c r="E11">
        <f>SUM(E2:E6)*$I2*1000000</f>
        <v>821549633.49310374</v>
      </c>
    </row>
    <row r="12" spans="1:10" x14ac:dyDescent="0.25">
      <c r="B12" t="s">
        <v>120</v>
      </c>
      <c r="C12">
        <f>SUM(C2:C6)*$I3*1000000</f>
        <v>887248332.08318782</v>
      </c>
      <c r="D12">
        <f>SUM(D2:D6)*$I3*1000000</f>
        <v>1516525559.7557464</v>
      </c>
      <c r="E12">
        <f>SUM(E2:E6)*$I3*1000000</f>
        <v>813077637.43156457</v>
      </c>
    </row>
    <row r="13" spans="1:10" x14ac:dyDescent="0.25">
      <c r="B13" t="s">
        <v>62</v>
      </c>
      <c r="C13">
        <f>C7*$I$4*1000000</f>
        <v>6084543.7504571546</v>
      </c>
      <c r="D13">
        <f>D7*$I$4*1000000</f>
        <v>296791389.84075361</v>
      </c>
      <c r="E13">
        <f>E7*$I$4*1000000</f>
        <v>1283460979.0919886</v>
      </c>
    </row>
    <row r="14" spans="1:10" x14ac:dyDescent="0.25">
      <c r="B14" t="s">
        <v>81</v>
      </c>
      <c r="C14">
        <f>C8*$I$5*1000000</f>
        <v>330233326.78803521</v>
      </c>
      <c r="D14">
        <f>D8*$I$5*1000000</f>
        <v>270147355.12926507</v>
      </c>
      <c r="E14">
        <f>E8*$I$5*1000000</f>
        <v>254268382.555639</v>
      </c>
    </row>
    <row r="16" spans="1:10" x14ac:dyDescent="0.25">
      <c r="B16" s="24" t="s">
        <v>118</v>
      </c>
      <c r="C16" s="25">
        <f>365*(C10+C$13+C$14)*(1-$I$6)*($I$9)/1000/1000000</f>
        <v>8.7861182367043007</v>
      </c>
      <c r="D16" s="25">
        <f>365*(D10+D$13+D$14)*(1-$I$7)*($I$9)/1000/1000000</f>
        <v>14.503048759229291</v>
      </c>
      <c r="E16" s="25">
        <f>365*(E10+E$13+E$14)*(1-$I$8)*($I$9)/1000/1000000</f>
        <v>15.128513851608144</v>
      </c>
    </row>
    <row r="17" spans="1:8" x14ac:dyDescent="0.25">
      <c r="B17" s="24" t="s">
        <v>123</v>
      </c>
      <c r="C17" s="25">
        <f>365*(C11+C$13+C$14)*(1-$I$6)*($I$9)/1000/1000000</f>
        <v>8.8195301259691181</v>
      </c>
      <c r="D17" s="25">
        <f>365*(D11+D$13+D$14)*(1-$I$7)*($I$9)/1000/1000000</f>
        <v>14.558409654631793</v>
      </c>
      <c r="E17" s="25">
        <f>365*(E11+E$13+E$14)*(1-$I$8)*($I$9)/1000/1000000</f>
        <v>15.156008264784056</v>
      </c>
    </row>
    <row r="18" spans="1:8" x14ac:dyDescent="0.25">
      <c r="B18" s="24" t="s">
        <v>122</v>
      </c>
      <c r="C18" s="25">
        <f t="shared" ref="C18" si="0">365*(C12+C$13+C$14)*(1-$I$6)*($I$9)/1000/1000000</f>
        <v>8.7533926135554996</v>
      </c>
      <c r="D18" s="25">
        <f t="shared" ref="D18" si="1">365*(D12+D$13+D$14)*(1-$I$7)*($I$9)/1000/1000000</f>
        <v>14.44882495327318</v>
      </c>
      <c r="E18" s="25">
        <f t="shared" ref="E18" si="2">365*(E12+E$13+E$14)*(1-$I$8)*($I$9)/1000/1000000</f>
        <v>15.101584162084732</v>
      </c>
    </row>
    <row r="19" spans="1:8" x14ac:dyDescent="0.25">
      <c r="B19" s="1"/>
    </row>
    <row r="20" spans="1:8" x14ac:dyDescent="0.25">
      <c r="B20" s="18" t="s">
        <v>74</v>
      </c>
      <c r="C20" s="19">
        <f>NPP!C22</f>
        <v>11.214491800146961</v>
      </c>
      <c r="D20" s="19">
        <f>NPP!D22</f>
        <v>18.708509786626013</v>
      </c>
      <c r="E20" s="19">
        <f>NPP!E22</f>
        <v>14.554731247051402</v>
      </c>
    </row>
    <row r="21" spans="1:8" x14ac:dyDescent="0.25">
      <c r="B21" s="1"/>
    </row>
    <row r="22" spans="1:8" x14ac:dyDescent="0.25">
      <c r="B22" s="17" t="s">
        <v>124</v>
      </c>
      <c r="C22" s="6">
        <f>C$20/C16</f>
        <v>1.2763875352027529</v>
      </c>
      <c r="D22" s="6">
        <f>D$20/D16</f>
        <v>1.2899708259424072</v>
      </c>
      <c r="E22" s="6">
        <f>E$20/E16</f>
        <v>0.96207277131218349</v>
      </c>
    </row>
    <row r="23" spans="1:8" x14ac:dyDescent="0.25">
      <c r="B23" s="17" t="s">
        <v>125</v>
      </c>
      <c r="C23" s="6">
        <f t="shared" ref="C23:E24" si="3">C$20/C17</f>
        <v>1.2715520713655566</v>
      </c>
      <c r="D23" s="6">
        <f t="shared" si="3"/>
        <v>1.2850654865776396</v>
      </c>
      <c r="E23" s="6">
        <f t="shared" si="3"/>
        <v>0.96032748153550695</v>
      </c>
    </row>
    <row r="24" spans="1:8" x14ac:dyDescent="0.25">
      <c r="B24" s="17" t="s">
        <v>126</v>
      </c>
      <c r="C24" s="6">
        <f t="shared" si="3"/>
        <v>1.2811594652775204</v>
      </c>
      <c r="D24" s="6">
        <f t="shared" si="3"/>
        <v>1.2948118512839939</v>
      </c>
      <c r="E24" s="6">
        <f t="shared" si="3"/>
        <v>0.96378837417558461</v>
      </c>
    </row>
    <row r="25" spans="1:8" x14ac:dyDescent="0.25">
      <c r="B25" s="1"/>
    </row>
    <row r="26" spans="1:8" ht="15.75" x14ac:dyDescent="0.25">
      <c r="B26" s="52">
        <v>2050</v>
      </c>
      <c r="C26" s="52"/>
      <c r="D26" s="52"/>
      <c r="E26" s="52"/>
    </row>
    <row r="27" spans="1:8" ht="15.75" x14ac:dyDescent="0.25">
      <c r="B27" s="53" t="s">
        <v>135</v>
      </c>
      <c r="C27" s="53"/>
      <c r="D27" s="53"/>
      <c r="E27" s="53"/>
    </row>
    <row r="28" spans="1:8" x14ac:dyDescent="0.25">
      <c r="A28" t="s">
        <v>231</v>
      </c>
      <c r="B28" s="16" t="s">
        <v>13</v>
      </c>
      <c r="C28" s="48">
        <f>SUM([71]beef_system!$N$2:$N$4,[71]beef_system!$N$8:$N$10)/1000000</f>
        <v>4.7929613540867821</v>
      </c>
      <c r="D28" s="48">
        <f>SUM([71]beef_system!$N$5:$N$6,[71]beef_system!$N$11:$N$13)/1000000</f>
        <v>4.2618346064032711</v>
      </c>
      <c r="E28" s="48">
        <v>0</v>
      </c>
      <c r="F28" s="48"/>
      <c r="G28" s="48"/>
      <c r="H28" s="48"/>
    </row>
    <row r="29" spans="1:8" x14ac:dyDescent="0.25">
      <c r="B29" s="16" t="s">
        <v>16</v>
      </c>
      <c r="C29" s="48">
        <v>0</v>
      </c>
      <c r="D29" s="48">
        <f>SUM([71]beef_system!$N$14:$N$16,[71]beef_system!$N$20:$N$22)/1000000</f>
        <v>5.5240387862072344</v>
      </c>
      <c r="E29" s="48">
        <f>SUM([71]beef_system!$N$17:$N$19,[71]beef_system!$N$23:$N$25)/1000000</f>
        <v>4.6267369241573935</v>
      </c>
      <c r="F29" s="48"/>
      <c r="G29" s="48"/>
      <c r="H29" s="48"/>
    </row>
    <row r="30" spans="1:8" x14ac:dyDescent="0.25">
      <c r="B30" s="16" t="s">
        <v>11</v>
      </c>
      <c r="C30" s="48">
        <v>0</v>
      </c>
      <c r="D30" s="48">
        <v>0</v>
      </c>
      <c r="E30" s="48">
        <f>SUM([71]beef_system!$N$26:$N$31)/1000000</f>
        <v>1.7461697399216372</v>
      </c>
      <c r="F30" s="48"/>
      <c r="G30" s="48"/>
      <c r="H30" s="48"/>
    </row>
    <row r="31" spans="1:8" x14ac:dyDescent="0.25">
      <c r="B31" s="16" t="s">
        <v>22</v>
      </c>
      <c r="C31" s="48">
        <f>SUM([71]beef_system!$N$32:$N$34,[71]beef_system!$N$41:$N$43)/1000000</f>
        <v>8.4354492414162402E-2</v>
      </c>
      <c r="D31" s="48">
        <f>SUM([71]beef_system!$N$35:$N$37,[71]beef_system!$N$44:$N$46)/1000000</f>
        <v>0.38986049346183149</v>
      </c>
      <c r="E31" s="48">
        <f>SUM([71]beef_system!$N$38:$N$40,[71]beef_system!$N$47:$N$49)/1000000</f>
        <v>0.63213151986263816</v>
      </c>
      <c r="F31" s="48"/>
      <c r="G31" s="48"/>
      <c r="H31" s="48"/>
    </row>
    <row r="32" spans="1:8" x14ac:dyDescent="0.25">
      <c r="B32" s="16" t="s">
        <v>23</v>
      </c>
      <c r="C32" s="48">
        <f>SUM([71]beef_system!$N$50:$N$52,[71]beef_system!$N$59:$N$61)/1000000</f>
        <v>5.5233194107263968</v>
      </c>
      <c r="D32" s="48">
        <f>SUM([71]beef_system!$N$53:$N$55,[71]beef_system!$N62:$N$64)/1000000</f>
        <v>7.3613607390169049</v>
      </c>
      <c r="E32" s="48">
        <f>SUM([71]beef_system!$N$56:$N$58,[71]beef_system!$N65:$N$67)/1000000</f>
        <v>6.3933469326829666</v>
      </c>
      <c r="F32" s="48"/>
      <c r="G32" s="48"/>
      <c r="H32" s="48"/>
    </row>
    <row r="33" spans="1:8" x14ac:dyDescent="0.25">
      <c r="B33" s="50"/>
      <c r="C33" s="48"/>
      <c r="D33" s="48"/>
      <c r="F33" s="48"/>
      <c r="G33" s="48"/>
      <c r="H33" s="48"/>
    </row>
    <row r="34" spans="1:8" x14ac:dyDescent="0.25">
      <c r="A34" t="s">
        <v>232</v>
      </c>
      <c r="B34" s="50" t="str">
        <f>B28</f>
        <v>Pastoral</v>
      </c>
      <c r="C34" s="48">
        <f>SUM([71]beef_system!$N$68:$N$70,[71]beef_system!$N$74:$N$76)/1000000</f>
        <v>4.7929613540867804</v>
      </c>
      <c r="D34" s="48">
        <f>SUM([71]beef_system!$N$71:$N$73,[71]beef_system!$N$77:$N$79)/1000000</f>
        <v>4.7190311078560088</v>
      </c>
      <c r="E34" s="48">
        <v>0</v>
      </c>
      <c r="F34" s="48"/>
      <c r="G34" s="48"/>
      <c r="H34" s="48"/>
    </row>
    <row r="35" spans="1:8" x14ac:dyDescent="0.25">
      <c r="B35" s="50" t="str">
        <f t="shared" ref="B35:B38" si="4">B29</f>
        <v>Agropastoral</v>
      </c>
      <c r="C35" s="48">
        <v>0</v>
      </c>
      <c r="D35" s="48">
        <f>SUM([71]beef_system!$N$80:$N$82,[71]beef_system!$N$86:$N$88)/1000000</f>
        <v>5.5240387862072353</v>
      </c>
      <c r="E35" s="48">
        <f>SUM([71]beef_system!$N$83:$N$85,[71]beef_system!$N$89:$N$91)/1000000</f>
        <v>4.6267369241573935</v>
      </c>
    </row>
    <row r="36" spans="1:8" x14ac:dyDescent="0.25">
      <c r="B36" s="50" t="str">
        <f t="shared" si="4"/>
        <v>Mixed</v>
      </c>
      <c r="C36" s="48">
        <v>0</v>
      </c>
      <c r="D36" s="48">
        <v>0</v>
      </c>
      <c r="E36" s="48">
        <f>SUM([71]beef_system!$N$92:$N$97)/1000000</f>
        <v>1.7461697399216372</v>
      </c>
    </row>
    <row r="37" spans="1:8" x14ac:dyDescent="0.25">
      <c r="B37" s="50" t="str">
        <f t="shared" si="4"/>
        <v>Cowcalf</v>
      </c>
      <c r="C37" s="48">
        <f>SUM([71]beef_system!$N$104:$N$106,[71]beef_system!$N$113:$N$115)/1000000</f>
        <v>0.63213151986263816</v>
      </c>
      <c r="D37" s="48">
        <f>SUM([71]beef_system!$N$101:$N$103,[71]beef_system!$N$110:$N$112)/1000000</f>
        <v>0.38986049346183149</v>
      </c>
      <c r="E37" s="48">
        <f>SUM([71]beef_system!$N$104:$N$106,[71]beef_system!$N$113:$N$115)/1000000</f>
        <v>0.63213151986263816</v>
      </c>
    </row>
    <row r="38" spans="1:8" x14ac:dyDescent="0.25">
      <c r="B38" s="50" t="str">
        <f t="shared" si="4"/>
        <v>Finisher</v>
      </c>
      <c r="C38" s="48">
        <f>SUM([71]beef_system!$N$122:$N$125,[71]beef_system!$N$131:$N$133)/1000000</f>
        <v>8.2963552799156144</v>
      </c>
      <c r="D38" s="48">
        <f>SUM([71]beef_system!$N$119:$N$121,[71]beef_system!$N$128:$N130)/1000000</f>
        <v>7.3613607390169058</v>
      </c>
      <c r="E38" s="48">
        <f>SUM([71]beef_system!$N$122:$N$125,[71]beef_system!$N$131:$N133)/1000000</f>
        <v>8.2963552799156144</v>
      </c>
    </row>
    <row r="39" spans="1:8" x14ac:dyDescent="0.25">
      <c r="A39" t="s">
        <v>134</v>
      </c>
      <c r="B39" s="16"/>
    </row>
    <row r="40" spans="1:8" x14ac:dyDescent="0.25">
      <c r="A40" t="s">
        <v>233</v>
      </c>
      <c r="B40" s="50" t="str">
        <f>B34</f>
        <v>Pastoral</v>
      </c>
      <c r="C40" s="48">
        <f>SUM([71]beef_system!$N$134:$N$136,[71]beef_system!$N$140:$N$142)/1000000</f>
        <v>4.7929613540867813</v>
      </c>
      <c r="D40" s="48">
        <f>SUM([71]beef_system!$N$137:$N$139,[71]beef_system!$N$143:$N$145)/1000000</f>
        <v>4.7190311078560079</v>
      </c>
      <c r="E40" s="48">
        <v>0</v>
      </c>
    </row>
    <row r="41" spans="1:8" x14ac:dyDescent="0.25">
      <c r="B41" s="50" t="str">
        <f t="shared" ref="B41:B44" si="5">B35</f>
        <v>Agropastoral</v>
      </c>
      <c r="C41" s="48">
        <v>0</v>
      </c>
      <c r="D41" s="48">
        <f>SUM([71]beef_system!$N$146:$N$148,[71]beef_system!$N$152:$N$154)/1000000</f>
        <v>5.5240387862072344</v>
      </c>
      <c r="E41" s="48">
        <f>SUM([71]beef_system!$N$149:$N$151,[71]beef_system!$N$155:$N$157)/1000000</f>
        <v>4.6267369241573926</v>
      </c>
    </row>
    <row r="42" spans="1:8" x14ac:dyDescent="0.25">
      <c r="B42" s="50" t="str">
        <f t="shared" si="5"/>
        <v>Mixed</v>
      </c>
      <c r="C42" s="48">
        <v>0</v>
      </c>
      <c r="D42" s="48">
        <v>0</v>
      </c>
      <c r="E42" s="48">
        <f>SUM([71]beef_system!$N$158:$N$163)/1000000</f>
        <v>1.7461697399216374</v>
      </c>
    </row>
    <row r="43" spans="1:8" x14ac:dyDescent="0.25">
      <c r="B43" s="50" t="str">
        <f t="shared" si="5"/>
        <v>Cowcalf</v>
      </c>
      <c r="C43" s="48">
        <f>SUM([71]beef_system!$N$164:$N$166,[71]beef_system!$N$173:$N$175)/1000000</f>
        <v>8.6041582262445668E-2</v>
      </c>
      <c r="D43" s="48">
        <f>SUM([71]beef_system!$N$167:$N$168,[71]beef_system!$N$176:$N$178)/1000000</f>
        <v>0.26392541770082989</v>
      </c>
      <c r="E43" s="48">
        <f>SUM([71]beef_system!$N$170:$N$172,[71]beef_system!$N$179:$N$181)/1000000</f>
        <v>0.64477415025989104</v>
      </c>
    </row>
    <row r="44" spans="1:8" x14ac:dyDescent="0.25">
      <c r="B44" s="50" t="str">
        <f t="shared" si="5"/>
        <v>Finisher</v>
      </c>
      <c r="C44" s="48">
        <f>SUM([71]beef_system!$N$182:$N$184,[71]beef_system!$N$191:$N$193)/1000000</f>
        <v>5.6337857989409237</v>
      </c>
      <c r="D44" s="48">
        <f>SUM([71]beef_system!$N$185:$N$187,[71]beef_system!$N$194:$N196)/1000000</f>
        <v>7.5085879537972433</v>
      </c>
      <c r="E44" s="48">
        <f>SUM([71]beef_system!$N$188:$N$191,[71]beef_system!$N$197:$N199)/1000000</f>
        <v>6.5212138713366281</v>
      </c>
    </row>
    <row r="45" spans="1:8" x14ac:dyDescent="0.25">
      <c r="B45" s="50"/>
    </row>
    <row r="46" spans="1:8" x14ac:dyDescent="0.25">
      <c r="B46" t="s">
        <v>59</v>
      </c>
      <c r="C46">
        <f>C7+C7*30*Validate_2020!G8/100</f>
        <v>3.0271361942572905E-2</v>
      </c>
      <c r="D46">
        <f>D7+D7*30*Validate_2020!H8/100</f>
        <v>1.5191844054356305</v>
      </c>
      <c r="E46">
        <f>E7+E7*30*Validate_2020!I8/100</f>
        <v>6.3853780054327789</v>
      </c>
    </row>
    <row r="47" spans="1:8" x14ac:dyDescent="0.25">
      <c r="B47" t="s">
        <v>79</v>
      </c>
      <c r="C47">
        <f>C8+C8*30*1.35*Validate_2020!$G7/100</f>
        <v>22.673263960703252</v>
      </c>
      <c r="D47">
        <f>D8+D8*30*1*Validate_2020!$G7/100</f>
        <v>16.240521701214558</v>
      </c>
      <c r="E47">
        <f>E8+E8*30*0.65*Validate_2020!$G7/100</f>
        <v>13.114203566596995</v>
      </c>
    </row>
    <row r="49" spans="1:5" x14ac:dyDescent="0.25">
      <c r="A49" s="1"/>
      <c r="B49" s="56" t="s">
        <v>130</v>
      </c>
      <c r="C49" s="56"/>
      <c r="D49" s="56"/>
      <c r="E49" s="56"/>
    </row>
    <row r="50" spans="1:5" x14ac:dyDescent="0.25">
      <c r="B50" t="s">
        <v>131</v>
      </c>
      <c r="C50">
        <f>SUM(C$28:C$32)*$I1*1000000</f>
        <v>2030719864.6883712</v>
      </c>
      <c r="D50">
        <f>SUM(D$28:D$32)*$I1*1000000</f>
        <v>3424110695.4828715</v>
      </c>
      <c r="E50">
        <f>SUM(E$28:E$32)*$I1*1000000</f>
        <v>2616029323.0327182</v>
      </c>
    </row>
    <row r="51" spans="1:5" x14ac:dyDescent="0.25">
      <c r="B51" t="s">
        <v>132</v>
      </c>
      <c r="C51">
        <f>SUM(C34:C38)*$I2*1000000</f>
        <v>2693137444.200213</v>
      </c>
      <c r="D51">
        <f>SUM(D34:D38)*$I2*1000000</f>
        <v>3531777307.4177604</v>
      </c>
      <c r="E51">
        <f>SUM(E34:E38)*$I2*1000000</f>
        <v>3003236628.0775433</v>
      </c>
    </row>
    <row r="52" spans="1:5" x14ac:dyDescent="0.25">
      <c r="B52" t="s">
        <v>133</v>
      </c>
      <c r="C52">
        <f>SUM(C40:C44)*$I3*1000000</f>
        <v>2042089237.5315146</v>
      </c>
      <c r="D52">
        <f>SUM(D40:D44)*$I3*1000000</f>
        <v>3499492819.7270808</v>
      </c>
      <c r="E52">
        <f>SUM(E40:E44)*$I3*1000000</f>
        <v>2629904568.7925725</v>
      </c>
    </row>
    <row r="53" spans="1:5" x14ac:dyDescent="0.25">
      <c r="B53" t="s">
        <v>59</v>
      </c>
      <c r="C53">
        <f t="shared" ref="C53:E54" si="6">C46*$I4*1000000</f>
        <v>6084543.7504571546</v>
      </c>
      <c r="D53">
        <f t="shared" si="6"/>
        <v>305356065.49256176</v>
      </c>
      <c r="E53">
        <f t="shared" si="6"/>
        <v>1283460979.0919886</v>
      </c>
    </row>
    <row r="54" spans="1:5" x14ac:dyDescent="0.25">
      <c r="B54" t="s">
        <v>79</v>
      </c>
      <c r="C54">
        <f t="shared" si="6"/>
        <v>634851390.8996911</v>
      </c>
      <c r="D54">
        <f t="shared" si="6"/>
        <v>454734607.63400757</v>
      </c>
      <c r="E54">
        <f t="shared" si="6"/>
        <v>367197699.86471581</v>
      </c>
    </row>
    <row r="56" spans="1:5" ht="15.75" x14ac:dyDescent="0.25">
      <c r="A56" s="2">
        <v>2050</v>
      </c>
      <c r="B56" s="52" t="s">
        <v>136</v>
      </c>
      <c r="C56" s="52"/>
      <c r="D56" s="52"/>
      <c r="E56" s="52"/>
    </row>
    <row r="57" spans="1:5" x14ac:dyDescent="0.25">
      <c r="B57" s="55" t="s">
        <v>63</v>
      </c>
      <c r="C57" s="55"/>
      <c r="D57" s="55"/>
      <c r="E57" s="55"/>
    </row>
    <row r="58" spans="1:5" x14ac:dyDescent="0.25">
      <c r="B58" s="24" t="s">
        <v>127</v>
      </c>
      <c r="C58" s="26">
        <f>365*(C50+C$53+C$54)*(1-$I$6)*($I$9)/1000/1000000</f>
        <v>19.113025588467767</v>
      </c>
      <c r="D58" s="26">
        <f>365*(D50+D$53+D$54)*(1-$I$7)*($I$9)/1000/1000000</f>
        <v>29.017436491306469</v>
      </c>
      <c r="E58" s="26">
        <f>365*(E50+E$53+E$54)*(1-$I$8)*($I$9)/1000/1000000</f>
        <v>27.409203724780056</v>
      </c>
    </row>
    <row r="59" spans="1:5" x14ac:dyDescent="0.25">
      <c r="B59" s="24" t="s">
        <v>128</v>
      </c>
      <c r="C59" s="26">
        <f>365*(C51+C$53+C$54)*(1-$I$6)*($I$9)/1000/1000000</f>
        <v>23.851960952295482</v>
      </c>
      <c r="D59" s="26">
        <f>365*(D51+D$53+D$54)*(1-$I$7)*($I$9)/1000/1000000</f>
        <v>29.764104445074928</v>
      </c>
      <c r="E59" s="26">
        <f>365*(E51+E$53+E$54)*(1-$I$8)*($I$9)/1000/1000000</f>
        <v>29.896623452388003</v>
      </c>
    </row>
    <row r="60" spans="1:5" x14ac:dyDescent="0.25">
      <c r="A60" s="1" t="s">
        <v>84</v>
      </c>
      <c r="B60" s="24" t="s">
        <v>129</v>
      </c>
      <c r="C60" s="26">
        <f>365*(C52+C$53+C$54)*(1-$I$6)*($I$9)/1000/1000000</f>
        <v>19.194362081787617</v>
      </c>
      <c r="D60" s="26">
        <f>365*(D52+D$53+D$54)*(1-$I$7)*($I$9)/1000/1000000</f>
        <v>29.540211522940062</v>
      </c>
      <c r="E60" s="26">
        <f>365*(E52+E$53+E$54)*(1-$I$8)*($I$9)/1000/1000000</f>
        <v>27.49833830354136</v>
      </c>
    </row>
    <row r="61" spans="1:5" x14ac:dyDescent="0.25">
      <c r="A61" s="1"/>
      <c r="C61" s="13"/>
      <c r="D61" s="13"/>
      <c r="E61" s="13"/>
    </row>
    <row r="62" spans="1:5" x14ac:dyDescent="0.25">
      <c r="A62" s="1"/>
      <c r="B62" s="18" t="s">
        <v>74</v>
      </c>
      <c r="C62" s="23">
        <f>NPP!C26</f>
        <v>12.151858686054949</v>
      </c>
      <c r="D62" s="23">
        <f>NPP!D26</f>
        <v>19.619822257325151</v>
      </c>
      <c r="E62" s="23">
        <f>NPP!E26</f>
        <v>14.483559517089713</v>
      </c>
    </row>
    <row r="63" spans="1:5" x14ac:dyDescent="0.25">
      <c r="B63" s="1"/>
    </row>
    <row r="64" spans="1:5" x14ac:dyDescent="0.25">
      <c r="B64" s="54" t="s">
        <v>78</v>
      </c>
      <c r="C64" s="54"/>
      <c r="D64" s="54"/>
      <c r="E64" s="54"/>
    </row>
    <row r="65" spans="1:5" x14ac:dyDescent="0.25">
      <c r="B65" s="20" t="str">
        <f>B58</f>
        <v>BL</v>
      </c>
      <c r="C65" s="21">
        <f t="shared" ref="C65:E67" si="7">C$62/C58</f>
        <v>0.63578937985553785</v>
      </c>
      <c r="D65" s="21">
        <f t="shared" si="7"/>
        <v>0.67613906084375119</v>
      </c>
      <c r="E65" s="21">
        <f t="shared" si="7"/>
        <v>0.52841956528621981</v>
      </c>
    </row>
    <row r="66" spans="1:5" x14ac:dyDescent="0.25">
      <c r="B66" s="20" t="str">
        <f t="shared" ref="B66:B67" si="8">B59</f>
        <v>WC</v>
      </c>
      <c r="C66" s="21">
        <f t="shared" si="7"/>
        <v>0.50947000585649838</v>
      </c>
      <c r="D66" s="21">
        <f t="shared" si="7"/>
        <v>0.65917730847674294</v>
      </c>
      <c r="E66" s="21">
        <f t="shared" si="7"/>
        <v>0.48445469235532795</v>
      </c>
    </row>
    <row r="67" spans="1:5" x14ac:dyDescent="0.25">
      <c r="B67" s="20" t="str">
        <f t="shared" si="8"/>
        <v>BC</v>
      </c>
      <c r="C67" s="21">
        <f t="shared" si="7"/>
        <v>0.63309520963893462</v>
      </c>
      <c r="D67" s="21">
        <f t="shared" si="7"/>
        <v>0.66417338420508509</v>
      </c>
      <c r="E67" s="21">
        <f t="shared" si="7"/>
        <v>0.52670671795555202</v>
      </c>
    </row>
    <row r="68" spans="1:5" x14ac:dyDescent="0.25">
      <c r="B68" s="2"/>
      <c r="C68" s="34"/>
      <c r="D68" s="34"/>
      <c r="E68" s="34"/>
    </row>
    <row r="69" spans="1:5" x14ac:dyDescent="0.25">
      <c r="B69" s="20" t="str">
        <f>B65</f>
        <v>BL</v>
      </c>
      <c r="C69" s="21">
        <f>(C65+C$22)/2</f>
        <v>0.9560884575291454</v>
      </c>
      <c r="D69" s="21">
        <f>(D65+D$22)/2</f>
        <v>0.98305494339307919</v>
      </c>
      <c r="E69" s="44">
        <f>(E65+E$22)/2</f>
        <v>0.74524616829920165</v>
      </c>
    </row>
    <row r="70" spans="1:5" x14ac:dyDescent="0.25">
      <c r="B70" s="20" t="str">
        <f>B66</f>
        <v>WC</v>
      </c>
      <c r="C70" s="21">
        <f t="shared" ref="C70:E70" si="9">(C66+C$22)/2</f>
        <v>0.8929287705296256</v>
      </c>
      <c r="D70" s="21">
        <f t="shared" si="9"/>
        <v>0.97457406720957507</v>
      </c>
      <c r="E70" s="21">
        <f t="shared" si="9"/>
        <v>0.7232637318337557</v>
      </c>
    </row>
    <row r="71" spans="1:5" x14ac:dyDescent="0.25">
      <c r="B71" s="20" t="str">
        <f>B67</f>
        <v>BC</v>
      </c>
      <c r="C71" s="21">
        <f t="shared" ref="C71:E71" si="10">(C67+C$22)/2</f>
        <v>0.95474137242084378</v>
      </c>
      <c r="D71" s="21">
        <f t="shared" si="10"/>
        <v>0.97707210507374609</v>
      </c>
      <c r="E71" s="21">
        <f t="shared" si="10"/>
        <v>0.74438974463386776</v>
      </c>
    </row>
    <row r="72" spans="1:5" x14ac:dyDescent="0.25">
      <c r="B72" s="3"/>
      <c r="C72" s="3"/>
      <c r="D72" s="3"/>
      <c r="E72" s="3"/>
    </row>
    <row r="73" spans="1:5" x14ac:dyDescent="0.25">
      <c r="B73" s="3"/>
      <c r="C73" s="3"/>
      <c r="D73" s="3"/>
      <c r="E73" s="3"/>
    </row>
    <row r="74" spans="1:5" ht="15.75" x14ac:dyDescent="0.25">
      <c r="A74" s="33">
        <v>2050</v>
      </c>
      <c r="B74" s="52" t="s">
        <v>137</v>
      </c>
      <c r="C74" s="52"/>
      <c r="D74" s="52"/>
      <c r="E74" s="52"/>
    </row>
    <row r="75" spans="1:5" x14ac:dyDescent="0.25">
      <c r="A75" s="33"/>
      <c r="B75" s="55" t="s">
        <v>63</v>
      </c>
      <c r="C75" s="55"/>
      <c r="D75" s="55"/>
      <c r="E75" s="55"/>
    </row>
    <row r="76" spans="1:5" x14ac:dyDescent="0.25">
      <c r="A76" s="33"/>
      <c r="B76" s="28" t="str">
        <f>B69</f>
        <v>BL</v>
      </c>
      <c r="C76" s="29">
        <f>C58</f>
        <v>19.113025588467767</v>
      </c>
      <c r="D76" s="29">
        <f t="shared" ref="D76:E76" si="11">D58</f>
        <v>29.017436491306469</v>
      </c>
      <c r="E76" s="29">
        <f t="shared" si="11"/>
        <v>27.409203724780056</v>
      </c>
    </row>
    <row r="77" spans="1:5" x14ac:dyDescent="0.25">
      <c r="A77" s="33"/>
      <c r="B77" s="28" t="str">
        <f t="shared" ref="B77:B78" si="12">B70</f>
        <v>WC</v>
      </c>
      <c r="C77" s="29">
        <f>C59</f>
        <v>23.851960952295482</v>
      </c>
      <c r="D77" s="29">
        <f>D59</f>
        <v>29.764104445074928</v>
      </c>
      <c r="E77" s="29">
        <f>E59</f>
        <v>29.896623452388003</v>
      </c>
    </row>
    <row r="78" spans="1:5" x14ac:dyDescent="0.25">
      <c r="A78" s="33" t="s">
        <v>84</v>
      </c>
      <c r="B78" s="28" t="str">
        <f t="shared" si="12"/>
        <v>BC</v>
      </c>
      <c r="C78" s="29">
        <f>C60</f>
        <v>19.194362081787617</v>
      </c>
      <c r="D78" s="29">
        <f>D60</f>
        <v>29.540211522940062</v>
      </c>
      <c r="E78" s="29">
        <f>E60</f>
        <v>27.49833830354136</v>
      </c>
    </row>
    <row r="79" spans="1:5" x14ac:dyDescent="0.25">
      <c r="A79" s="16"/>
      <c r="B79" s="3"/>
      <c r="C79" s="3"/>
      <c r="D79" s="3"/>
      <c r="E79" s="3"/>
    </row>
    <row r="80" spans="1:5" x14ac:dyDescent="0.25">
      <c r="A80" s="16"/>
      <c r="B80" s="22" t="s">
        <v>74</v>
      </c>
      <c r="C80" s="23">
        <f>NPP!C30</f>
        <v>12.931430809814433</v>
      </c>
      <c r="D80" s="23">
        <f>NPP!D30</f>
        <v>19.923212519875531</v>
      </c>
      <c r="E80" s="23">
        <f>NPP!E30</f>
        <v>14.582727723010285</v>
      </c>
    </row>
    <row r="81" spans="1:11" x14ac:dyDescent="0.25">
      <c r="B81" s="3"/>
      <c r="C81" s="3"/>
      <c r="D81" s="3"/>
      <c r="E81" s="3"/>
    </row>
    <row r="82" spans="1:11" x14ac:dyDescent="0.25">
      <c r="B82" s="54" t="s">
        <v>78</v>
      </c>
      <c r="C82" s="54"/>
      <c r="D82" s="54"/>
      <c r="E82" s="54"/>
      <c r="H82" s="54" t="s">
        <v>139</v>
      </c>
      <c r="I82" s="54"/>
    </row>
    <row r="83" spans="1:11" x14ac:dyDescent="0.25">
      <c r="B83" s="32" t="str">
        <f>B65</f>
        <v>BL</v>
      </c>
      <c r="C83" s="21">
        <f t="shared" ref="C83:E85" si="13">C$80/C76</f>
        <v>0.67657685853865412</v>
      </c>
      <c r="D83" s="21">
        <f t="shared" si="13"/>
        <v>0.68659450761077601</v>
      </c>
      <c r="E83" s="21">
        <f t="shared" si="13"/>
        <v>0.5320376275588905</v>
      </c>
      <c r="H83" s="39" t="s">
        <v>213</v>
      </c>
      <c r="I83">
        <v>1.2</v>
      </c>
    </row>
    <row r="84" spans="1:11" x14ac:dyDescent="0.25">
      <c r="B84" s="32" t="str">
        <f>B66</f>
        <v>WC</v>
      </c>
      <c r="C84" s="21">
        <f t="shared" si="13"/>
        <v>0.5421537808014032</v>
      </c>
      <c r="D84" s="21">
        <f t="shared" si="13"/>
        <v>0.66937046792860011</v>
      </c>
      <c r="E84" s="21">
        <f t="shared" si="13"/>
        <v>0.48777172934709739</v>
      </c>
      <c r="H84" s="39" t="s">
        <v>214</v>
      </c>
      <c r="I84">
        <v>0.8</v>
      </c>
    </row>
    <row r="85" spans="1:11" x14ac:dyDescent="0.25">
      <c r="B85" s="32" t="str">
        <f>B67</f>
        <v>BC</v>
      </c>
      <c r="C85" s="21">
        <f t="shared" si="13"/>
        <v>0.67370985056514565</v>
      </c>
      <c r="D85" s="21">
        <f t="shared" si="13"/>
        <v>0.67444380025524686</v>
      </c>
      <c r="E85" s="21">
        <f t="shared" si="13"/>
        <v>0.53031305244841853</v>
      </c>
      <c r="H85" s="39" t="s">
        <v>215</v>
      </c>
      <c r="I85">
        <f>I83</f>
        <v>1.2</v>
      </c>
    </row>
    <row r="86" spans="1:11" x14ac:dyDescent="0.25">
      <c r="B86" s="16"/>
      <c r="C86" s="34"/>
      <c r="D86" s="34"/>
      <c r="E86" s="34"/>
      <c r="H86" s="39" t="s">
        <v>216</v>
      </c>
      <c r="I86">
        <f t="shared" ref="I86:I100" si="14">I84</f>
        <v>0.8</v>
      </c>
    </row>
    <row r="87" spans="1:11" x14ac:dyDescent="0.25">
      <c r="B87" s="32" t="str">
        <f>B69</f>
        <v>BL</v>
      </c>
      <c r="C87" s="21">
        <f>(C$22+C83)*0.5</f>
        <v>0.97648219687070359</v>
      </c>
      <c r="D87" s="21">
        <f>(D$22+D83)*0.5</f>
        <v>0.9882826667765916</v>
      </c>
      <c r="E87" s="21">
        <f t="shared" ref="E87" si="15">(E$22+E83)*0.5</f>
        <v>0.747055199435537</v>
      </c>
      <c r="H87" s="39" t="s">
        <v>217</v>
      </c>
      <c r="I87">
        <f t="shared" si="14"/>
        <v>1.2</v>
      </c>
    </row>
    <row r="88" spans="1:11" x14ac:dyDescent="0.25">
      <c r="B88" s="32" t="str">
        <f t="shared" ref="B88:B89" si="16">B70</f>
        <v>WC</v>
      </c>
      <c r="C88" s="21">
        <f t="shared" ref="C88" si="17">(C$22+C84)*0.5</f>
        <v>0.90927065800207807</v>
      </c>
      <c r="D88" s="21">
        <f>(D$22+D84)*0.5</f>
        <v>0.97967064693550365</v>
      </c>
      <c r="E88" s="21">
        <f>(E$22+E84)*0.5</f>
        <v>0.72492225032964042</v>
      </c>
      <c r="H88" s="39" t="s">
        <v>218</v>
      </c>
      <c r="I88">
        <f t="shared" si="14"/>
        <v>0.8</v>
      </c>
    </row>
    <row r="89" spans="1:11" x14ac:dyDescent="0.25">
      <c r="B89" s="32" t="str">
        <f t="shared" si="16"/>
        <v>BC</v>
      </c>
      <c r="C89" s="21">
        <f t="shared" ref="C89:E89" si="18">(C$22+C85)*0.5</f>
        <v>0.97504869288394924</v>
      </c>
      <c r="D89" s="21">
        <f t="shared" si="18"/>
        <v>0.98220731309882703</v>
      </c>
      <c r="E89" s="21">
        <f t="shared" si="18"/>
        <v>0.74619291188030101</v>
      </c>
      <c r="H89" s="39" t="s">
        <v>219</v>
      </c>
      <c r="I89">
        <f t="shared" si="14"/>
        <v>1.2</v>
      </c>
    </row>
    <row r="90" spans="1:11" x14ac:dyDescent="0.25">
      <c r="H90" s="39" t="s">
        <v>220</v>
      </c>
      <c r="I90">
        <f t="shared" si="14"/>
        <v>0.8</v>
      </c>
    </row>
    <row r="91" spans="1:11" ht="15.75" x14ac:dyDescent="0.25">
      <c r="B91" s="52" t="s">
        <v>138</v>
      </c>
      <c r="C91" s="52"/>
      <c r="D91" s="52"/>
      <c r="E91" s="52"/>
      <c r="H91" s="37" t="s">
        <v>221</v>
      </c>
      <c r="I91">
        <f t="shared" si="14"/>
        <v>1.2</v>
      </c>
      <c r="J91" s="38"/>
      <c r="K91" s="38"/>
    </row>
    <row r="92" spans="1:11" x14ac:dyDescent="0.25">
      <c r="H92" s="37" t="s">
        <v>222</v>
      </c>
      <c r="I92">
        <f t="shared" si="14"/>
        <v>0.8</v>
      </c>
      <c r="J92" s="4"/>
      <c r="K92" s="4"/>
    </row>
    <row r="93" spans="1:11" x14ac:dyDescent="0.25">
      <c r="A93" s="36" t="str">
        <f>H83</f>
        <v>+30% Herd size</v>
      </c>
      <c r="B93" s="58" t="s">
        <v>144</v>
      </c>
      <c r="C93" s="58"/>
      <c r="D93" s="58"/>
      <c r="E93" s="58"/>
      <c r="H93" s="37" t="s">
        <v>223</v>
      </c>
      <c r="I93">
        <f t="shared" si="14"/>
        <v>1.2</v>
      </c>
      <c r="J93" s="4"/>
      <c r="K93" s="4"/>
    </row>
    <row r="94" spans="1:11" x14ac:dyDescent="0.25">
      <c r="B94" t="s">
        <v>13</v>
      </c>
      <c r="C94" s="49">
        <f>C28</f>
        <v>4.7929613540867821</v>
      </c>
      <c r="D94" s="49">
        <f t="shared" ref="D94:E94" si="19">D28</f>
        <v>4.2618346064032711</v>
      </c>
      <c r="E94" s="49">
        <f t="shared" si="19"/>
        <v>0</v>
      </c>
      <c r="H94" s="37" t="s">
        <v>224</v>
      </c>
      <c r="I94">
        <f t="shared" si="14"/>
        <v>0.8</v>
      </c>
      <c r="J94" s="4"/>
      <c r="K94" s="4"/>
    </row>
    <row r="95" spans="1:11" x14ac:dyDescent="0.25">
      <c r="B95" t="s">
        <v>16</v>
      </c>
      <c r="C95" s="49">
        <f t="shared" ref="C95:E98" si="20">C29</f>
        <v>0</v>
      </c>
      <c r="D95" s="49">
        <f t="shared" si="20"/>
        <v>5.5240387862072344</v>
      </c>
      <c r="E95" s="49">
        <f t="shared" si="20"/>
        <v>4.6267369241573935</v>
      </c>
      <c r="H95" s="37" t="s">
        <v>225</v>
      </c>
      <c r="I95">
        <f t="shared" si="14"/>
        <v>1.2</v>
      </c>
      <c r="J95" s="4"/>
      <c r="K95" s="4"/>
    </row>
    <row r="96" spans="1:11" x14ac:dyDescent="0.25">
      <c r="B96" t="str">
        <f>B4</f>
        <v>Mixed</v>
      </c>
      <c r="C96" s="49">
        <f t="shared" si="20"/>
        <v>0</v>
      </c>
      <c r="D96" s="49">
        <f t="shared" si="20"/>
        <v>0</v>
      </c>
      <c r="E96" s="49">
        <f t="shared" si="20"/>
        <v>1.7461697399216372</v>
      </c>
      <c r="H96" s="37" t="s">
        <v>226</v>
      </c>
      <c r="I96">
        <f t="shared" si="14"/>
        <v>0.8</v>
      </c>
      <c r="J96" s="4"/>
      <c r="K96" s="4"/>
    </row>
    <row r="97" spans="1:11" x14ac:dyDescent="0.25">
      <c r="B97" t="s">
        <v>22</v>
      </c>
      <c r="C97" s="49">
        <f t="shared" si="20"/>
        <v>8.4354492414162402E-2</v>
      </c>
      <c r="D97" s="49">
        <f t="shared" si="20"/>
        <v>0.38986049346183149</v>
      </c>
      <c r="E97" s="49">
        <f t="shared" si="20"/>
        <v>0.63213151986263816</v>
      </c>
      <c r="H97" s="37" t="s">
        <v>227</v>
      </c>
      <c r="I97">
        <f t="shared" si="14"/>
        <v>1.2</v>
      </c>
      <c r="J97" s="4"/>
      <c r="K97" s="4"/>
    </row>
    <row r="98" spans="1:11" x14ac:dyDescent="0.25">
      <c r="B98" t="s">
        <v>23</v>
      </c>
      <c r="C98" s="49">
        <f t="shared" si="20"/>
        <v>5.5233194107263968</v>
      </c>
      <c r="D98" s="49">
        <f t="shared" si="20"/>
        <v>7.3613607390169049</v>
      </c>
      <c r="E98" s="49">
        <f t="shared" si="20"/>
        <v>6.3933469326829666</v>
      </c>
      <c r="H98" s="37" t="s">
        <v>228</v>
      </c>
      <c r="I98">
        <f t="shared" si="14"/>
        <v>0.8</v>
      </c>
      <c r="J98" s="4"/>
      <c r="K98" s="4"/>
    </row>
    <row r="99" spans="1:11" x14ac:dyDescent="0.25">
      <c r="B99" t="s">
        <v>59</v>
      </c>
      <c r="C99" s="49">
        <f>C46</f>
        <v>3.0271361942572905E-2</v>
      </c>
      <c r="D99" s="49">
        <f t="shared" ref="D99:E99" si="21">D46</f>
        <v>1.5191844054356305</v>
      </c>
      <c r="E99" s="49">
        <f t="shared" si="21"/>
        <v>6.3853780054327789</v>
      </c>
      <c r="H99" s="37" t="s">
        <v>229</v>
      </c>
      <c r="I99">
        <f t="shared" si="14"/>
        <v>1.2</v>
      </c>
      <c r="J99" s="4"/>
      <c r="K99" s="4"/>
    </row>
    <row r="100" spans="1:11" x14ac:dyDescent="0.25">
      <c r="B100" t="s">
        <v>79</v>
      </c>
      <c r="C100" s="49">
        <f>C47</f>
        <v>22.673263960703252</v>
      </c>
      <c r="D100" s="49">
        <f t="shared" ref="D100:E100" si="22">D47</f>
        <v>16.240521701214558</v>
      </c>
      <c r="E100" s="49">
        <f t="shared" si="22"/>
        <v>13.114203566596995</v>
      </c>
      <c r="H100" s="37" t="s">
        <v>230</v>
      </c>
      <c r="I100">
        <f t="shared" si="14"/>
        <v>0.8</v>
      </c>
      <c r="J100" s="4"/>
      <c r="K100" s="4"/>
    </row>
    <row r="101" spans="1:11" x14ac:dyDescent="0.25">
      <c r="A101" t="str">
        <f>H84</f>
        <v xml:space="preserve">-30% Herd size </v>
      </c>
      <c r="H101" s="4"/>
      <c r="I101" s="4"/>
      <c r="J101" s="4"/>
      <c r="K101" s="4"/>
    </row>
    <row r="102" spans="1:11" x14ac:dyDescent="0.25">
      <c r="B102" s="58" t="s">
        <v>140</v>
      </c>
      <c r="C102" s="58"/>
      <c r="D102" s="58"/>
      <c r="E102" s="58"/>
      <c r="H102" s="4"/>
      <c r="I102" s="4"/>
      <c r="J102" s="4"/>
      <c r="K102" s="4"/>
    </row>
    <row r="103" spans="1:11" x14ac:dyDescent="0.25">
      <c r="B103" t="str">
        <f>B94</f>
        <v>Pastoral</v>
      </c>
      <c r="C103" s="40">
        <f>C94*$I$83</f>
        <v>5.7515536249041386</v>
      </c>
      <c r="D103" s="40">
        <f>D94*$I$83</f>
        <v>5.1142015276839254</v>
      </c>
      <c r="E103" s="40">
        <f t="shared" ref="E103" si="23">E94*$I$83</f>
        <v>0</v>
      </c>
      <c r="H103" s="4"/>
      <c r="I103" s="4"/>
      <c r="J103" s="4"/>
      <c r="K103" s="4"/>
    </row>
    <row r="104" spans="1:11" x14ac:dyDescent="0.25">
      <c r="B104" t="str">
        <f t="shared" ref="B104:B107" si="24">B95</f>
        <v>Agropastoral</v>
      </c>
      <c r="C104" s="40">
        <f t="shared" ref="C104:E104" si="25">C95*$I$83</f>
        <v>0</v>
      </c>
      <c r="D104" s="40">
        <f t="shared" si="25"/>
        <v>6.628846543448681</v>
      </c>
      <c r="E104" s="40">
        <f t="shared" si="25"/>
        <v>5.5520843089888716</v>
      </c>
      <c r="H104" s="4"/>
      <c r="I104" s="4"/>
      <c r="J104" s="4"/>
      <c r="K104" s="4"/>
    </row>
    <row r="105" spans="1:11" x14ac:dyDescent="0.25">
      <c r="B105" t="str">
        <f t="shared" si="24"/>
        <v>Mixed</v>
      </c>
      <c r="C105" s="40">
        <f t="shared" ref="C105:E105" si="26">C96*$I$83</f>
        <v>0</v>
      </c>
      <c r="D105" s="40">
        <f t="shared" si="26"/>
        <v>0</v>
      </c>
      <c r="E105" s="40">
        <f t="shared" si="26"/>
        <v>2.0954036879059643</v>
      </c>
      <c r="H105" s="4"/>
      <c r="I105" s="4"/>
      <c r="J105" s="4"/>
      <c r="K105" s="4"/>
    </row>
    <row r="106" spans="1:11" x14ac:dyDescent="0.25">
      <c r="B106" t="str">
        <f t="shared" si="24"/>
        <v>Cowcalf</v>
      </c>
      <c r="C106" s="40">
        <f t="shared" ref="C106:E106" si="27">C97*$I$83</f>
        <v>0.10122539089699488</v>
      </c>
      <c r="D106" s="40">
        <f t="shared" si="27"/>
        <v>0.46783259215419776</v>
      </c>
      <c r="E106" s="40">
        <f t="shared" si="27"/>
        <v>0.75855782383516579</v>
      </c>
      <c r="H106" s="4"/>
      <c r="I106" s="4"/>
      <c r="J106" s="4"/>
      <c r="K106" s="4"/>
    </row>
    <row r="107" spans="1:11" x14ac:dyDescent="0.25">
      <c r="B107" t="str">
        <f t="shared" si="24"/>
        <v>Finisher</v>
      </c>
      <c r="C107" s="40">
        <f t="shared" ref="C107:E107" si="28">C98*$I$83</f>
        <v>6.6279832928716758</v>
      </c>
      <c r="D107" s="40">
        <f t="shared" si="28"/>
        <v>8.8336328868202862</v>
      </c>
      <c r="E107" s="40">
        <f t="shared" si="28"/>
        <v>7.6720163192195594</v>
      </c>
      <c r="H107" s="4"/>
      <c r="I107" s="4"/>
      <c r="J107" s="4"/>
      <c r="K107" s="4"/>
    </row>
    <row r="108" spans="1:11" x14ac:dyDescent="0.25">
      <c r="A108" t="str">
        <f>H85</f>
        <v>+30% Zebu</v>
      </c>
      <c r="H108" s="4"/>
      <c r="I108" s="4"/>
      <c r="J108" s="4"/>
      <c r="K108" s="4"/>
    </row>
    <row r="109" spans="1:11" x14ac:dyDescent="0.25">
      <c r="H109" s="4"/>
      <c r="I109" s="4"/>
      <c r="J109" s="4"/>
      <c r="K109" s="4"/>
    </row>
    <row r="110" spans="1:11" x14ac:dyDescent="0.25">
      <c r="B110" s="58" t="str">
        <f t="shared" ref="B110:B115" si="29">B102</f>
        <v>Animal populations (M hd) -- SA scenario specific</v>
      </c>
      <c r="C110" s="58"/>
      <c r="D110" s="58"/>
      <c r="E110" s="58"/>
      <c r="H110" s="4"/>
      <c r="I110" s="4"/>
      <c r="J110" s="4"/>
      <c r="K110" s="4"/>
    </row>
    <row r="111" spans="1:11" x14ac:dyDescent="0.25">
      <c r="B111" t="str">
        <f t="shared" si="29"/>
        <v>Pastoral</v>
      </c>
      <c r="C111" s="6">
        <f t="shared" ref="C111:E115" si="30">C94*$I$84</f>
        <v>3.8343690832694257</v>
      </c>
      <c r="D111" s="6">
        <f t="shared" si="30"/>
        <v>3.4094676851226171</v>
      </c>
      <c r="E111" s="6">
        <f t="shared" si="30"/>
        <v>0</v>
      </c>
      <c r="H111" s="4"/>
      <c r="I111" s="4"/>
      <c r="J111" s="4"/>
      <c r="K111" s="4"/>
    </row>
    <row r="112" spans="1:11" x14ac:dyDescent="0.25">
      <c r="B112" t="str">
        <f t="shared" si="29"/>
        <v>Agropastoral</v>
      </c>
      <c r="C112" s="6">
        <f t="shared" si="30"/>
        <v>0</v>
      </c>
      <c r="D112" s="6">
        <f t="shared" si="30"/>
        <v>4.4192310289657879</v>
      </c>
      <c r="E112" s="6">
        <f t="shared" si="30"/>
        <v>3.7013895393259149</v>
      </c>
      <c r="H112" s="4"/>
      <c r="I112" s="4"/>
      <c r="J112" s="4"/>
      <c r="K112" s="4"/>
    </row>
    <row r="113" spans="1:11" x14ac:dyDescent="0.25">
      <c r="B113" t="str">
        <f t="shared" si="29"/>
        <v>Mixed</v>
      </c>
      <c r="C113" s="6">
        <f t="shared" si="30"/>
        <v>0</v>
      </c>
      <c r="D113" s="6">
        <f t="shared" si="30"/>
        <v>0</v>
      </c>
      <c r="E113" s="6">
        <f t="shared" si="30"/>
        <v>1.3969357919373098</v>
      </c>
      <c r="H113" s="4"/>
      <c r="I113" s="4"/>
      <c r="J113" s="4"/>
      <c r="K113" s="4"/>
    </row>
    <row r="114" spans="1:11" x14ac:dyDescent="0.25">
      <c r="B114" t="str">
        <f t="shared" si="29"/>
        <v>Cowcalf</v>
      </c>
      <c r="C114" s="6">
        <f t="shared" si="30"/>
        <v>6.7483593931329924E-2</v>
      </c>
      <c r="D114" s="6">
        <f t="shared" si="30"/>
        <v>0.31188839476946523</v>
      </c>
      <c r="E114" s="6">
        <f t="shared" si="30"/>
        <v>0.50570521589011053</v>
      </c>
      <c r="H114" s="4"/>
      <c r="I114" s="4"/>
      <c r="J114" s="4"/>
      <c r="K114" s="4"/>
    </row>
    <row r="115" spans="1:11" x14ac:dyDescent="0.25">
      <c r="B115" t="str">
        <f t="shared" si="29"/>
        <v>Finisher</v>
      </c>
      <c r="C115" s="6">
        <f t="shared" si="30"/>
        <v>4.4186555285811178</v>
      </c>
      <c r="D115" s="6">
        <f t="shared" si="30"/>
        <v>5.8890885912135245</v>
      </c>
      <c r="E115" s="6">
        <f t="shared" si="30"/>
        <v>5.1146775461463738</v>
      </c>
      <c r="H115" s="4"/>
      <c r="I115" s="4"/>
      <c r="J115" s="4"/>
      <c r="K115" s="4"/>
    </row>
    <row r="116" spans="1:11" x14ac:dyDescent="0.25">
      <c r="A116" t="str">
        <f>H86</f>
        <v>-30% Zebu</v>
      </c>
      <c r="H116" s="4"/>
      <c r="I116" s="4"/>
      <c r="J116" s="4"/>
      <c r="K116" s="4"/>
    </row>
    <row r="117" spans="1:11" x14ac:dyDescent="0.25">
      <c r="B117" s="58" t="str">
        <f t="shared" ref="B117:B122" si="31">B110</f>
        <v>Animal populations (M hd) -- SA scenario specific</v>
      </c>
      <c r="C117" s="58"/>
      <c r="D117" s="58"/>
      <c r="E117" s="58"/>
      <c r="H117" s="4"/>
      <c r="I117" s="4"/>
      <c r="J117" s="4"/>
      <c r="K117" s="4"/>
    </row>
    <row r="118" spans="1:11" x14ac:dyDescent="0.25">
      <c r="B118" t="str">
        <f t="shared" si="31"/>
        <v>Pastoral</v>
      </c>
      <c r="C118">
        <f t="shared" ref="C118:E122" si="32">C94</f>
        <v>4.7929613540867821</v>
      </c>
      <c r="D118">
        <f>D94</f>
        <v>4.2618346064032711</v>
      </c>
      <c r="E118">
        <f t="shared" si="32"/>
        <v>0</v>
      </c>
      <c r="H118" s="4"/>
      <c r="I118" s="4"/>
      <c r="J118" s="4"/>
      <c r="K118" s="4"/>
    </row>
    <row r="119" spans="1:11" x14ac:dyDescent="0.25">
      <c r="B119" t="str">
        <f t="shared" si="31"/>
        <v>Agropastoral</v>
      </c>
      <c r="C119">
        <f t="shared" si="32"/>
        <v>0</v>
      </c>
      <c r="D119">
        <f t="shared" si="32"/>
        <v>5.5240387862072344</v>
      </c>
      <c r="E119">
        <f t="shared" si="32"/>
        <v>4.6267369241573935</v>
      </c>
      <c r="H119" s="4"/>
      <c r="I119" s="4"/>
      <c r="J119" s="4"/>
      <c r="K119" s="4"/>
    </row>
    <row r="120" spans="1:11" x14ac:dyDescent="0.25">
      <c r="B120" t="str">
        <f t="shared" si="31"/>
        <v>Mixed</v>
      </c>
      <c r="C120">
        <f t="shared" si="32"/>
        <v>0</v>
      </c>
      <c r="D120">
        <f t="shared" si="32"/>
        <v>0</v>
      </c>
      <c r="E120">
        <f t="shared" si="32"/>
        <v>1.7461697399216372</v>
      </c>
      <c r="H120" s="4"/>
      <c r="I120" s="4"/>
      <c r="J120" s="4"/>
      <c r="K120" s="4"/>
    </row>
    <row r="121" spans="1:11" x14ac:dyDescent="0.25">
      <c r="B121" t="str">
        <f t="shared" si="31"/>
        <v>Cowcalf</v>
      </c>
      <c r="C121">
        <f t="shared" si="32"/>
        <v>8.4354492414162402E-2</v>
      </c>
      <c r="D121">
        <f t="shared" si="32"/>
        <v>0.38986049346183149</v>
      </c>
      <c r="E121">
        <f t="shared" si="32"/>
        <v>0.63213151986263816</v>
      </c>
      <c r="H121" s="4"/>
      <c r="I121" s="4"/>
      <c r="J121" s="4"/>
      <c r="K121" s="4"/>
    </row>
    <row r="122" spans="1:11" x14ac:dyDescent="0.25">
      <c r="A122" t="str">
        <f>H87</f>
        <v>+30% Boran</v>
      </c>
      <c r="B122" t="str">
        <f t="shared" si="31"/>
        <v>Finisher</v>
      </c>
      <c r="C122">
        <f t="shared" si="32"/>
        <v>5.5233194107263968</v>
      </c>
      <c r="D122">
        <f t="shared" si="32"/>
        <v>7.3613607390169049</v>
      </c>
      <c r="E122">
        <f t="shared" si="32"/>
        <v>6.3933469326829666</v>
      </c>
      <c r="H122" s="4"/>
      <c r="I122" s="4"/>
      <c r="J122" s="4"/>
      <c r="K122" s="4"/>
    </row>
    <row r="123" spans="1:11" x14ac:dyDescent="0.25">
      <c r="H123" s="4"/>
      <c r="I123" s="4"/>
      <c r="J123" s="4"/>
      <c r="K123" s="4"/>
    </row>
    <row r="124" spans="1:11" x14ac:dyDescent="0.25">
      <c r="B124" s="58" t="str">
        <f t="shared" ref="B124:B129" si="33">B117</f>
        <v>Animal populations (M hd) -- SA scenario specific</v>
      </c>
      <c r="C124" s="58"/>
      <c r="D124" s="58"/>
      <c r="E124" s="58"/>
      <c r="H124" s="4"/>
      <c r="I124" s="4"/>
      <c r="J124" s="4"/>
      <c r="K124" s="4"/>
    </row>
    <row r="125" spans="1:11" x14ac:dyDescent="0.25">
      <c r="B125" t="str">
        <f t="shared" si="33"/>
        <v>Pastoral</v>
      </c>
      <c r="C125">
        <f t="shared" ref="C125:E129" si="34">C94</f>
        <v>4.7929613540867821</v>
      </c>
      <c r="D125">
        <f t="shared" si="34"/>
        <v>4.2618346064032711</v>
      </c>
      <c r="E125">
        <f t="shared" si="34"/>
        <v>0</v>
      </c>
      <c r="H125" s="4"/>
      <c r="I125" s="4"/>
      <c r="J125" s="4"/>
      <c r="K125" s="4"/>
    </row>
    <row r="126" spans="1:11" x14ac:dyDescent="0.25">
      <c r="B126" t="str">
        <f t="shared" si="33"/>
        <v>Agropastoral</v>
      </c>
      <c r="C126">
        <f t="shared" si="34"/>
        <v>0</v>
      </c>
      <c r="D126">
        <f t="shared" si="34"/>
        <v>5.5240387862072344</v>
      </c>
      <c r="E126">
        <f t="shared" si="34"/>
        <v>4.6267369241573935</v>
      </c>
      <c r="H126" s="4"/>
      <c r="I126" s="4"/>
      <c r="J126" s="4"/>
      <c r="K126" s="4"/>
    </row>
    <row r="127" spans="1:11" x14ac:dyDescent="0.25">
      <c r="B127" t="str">
        <f t="shared" si="33"/>
        <v>Mixed</v>
      </c>
      <c r="C127">
        <f t="shared" si="34"/>
        <v>0</v>
      </c>
      <c r="D127">
        <f t="shared" si="34"/>
        <v>0</v>
      </c>
      <c r="E127">
        <f t="shared" si="34"/>
        <v>1.7461697399216372</v>
      </c>
      <c r="H127" s="4"/>
      <c r="I127" s="4"/>
      <c r="J127" s="4"/>
      <c r="K127" s="4"/>
    </row>
    <row r="128" spans="1:11" x14ac:dyDescent="0.25">
      <c r="B128" t="str">
        <f t="shared" si="33"/>
        <v>Cowcalf</v>
      </c>
      <c r="C128">
        <f t="shared" si="34"/>
        <v>8.4354492414162402E-2</v>
      </c>
      <c r="D128">
        <f t="shared" si="34"/>
        <v>0.38986049346183149</v>
      </c>
      <c r="E128">
        <f t="shared" si="34"/>
        <v>0.63213151986263816</v>
      </c>
      <c r="H128" s="4"/>
      <c r="I128" s="4"/>
      <c r="J128" s="4"/>
      <c r="K128" s="4"/>
    </row>
    <row r="129" spans="1:11" x14ac:dyDescent="0.25">
      <c r="B129" t="str">
        <f t="shared" si="33"/>
        <v>Finisher</v>
      </c>
      <c r="C129">
        <f t="shared" si="34"/>
        <v>5.5233194107263968</v>
      </c>
      <c r="D129">
        <f t="shared" si="34"/>
        <v>7.3613607390169049</v>
      </c>
      <c r="E129">
        <f t="shared" si="34"/>
        <v>6.3933469326829666</v>
      </c>
      <c r="H129" s="4"/>
      <c r="I129" s="4"/>
      <c r="J129" s="4"/>
      <c r="K129" s="4"/>
    </row>
    <row r="130" spans="1:11" x14ac:dyDescent="0.25">
      <c r="H130" s="4"/>
      <c r="I130" s="4"/>
      <c r="J130" s="4"/>
      <c r="K130" s="4"/>
    </row>
    <row r="131" spans="1:11" x14ac:dyDescent="0.25">
      <c r="A131" t="str">
        <f>H88</f>
        <v>-30% Boran</v>
      </c>
      <c r="B131" s="58" t="str">
        <f t="shared" ref="B131:B136" si="35">B124</f>
        <v>Animal populations (M hd) -- SA scenario specific</v>
      </c>
      <c r="C131" s="58"/>
      <c r="D131" s="58"/>
      <c r="E131" s="58"/>
      <c r="H131" s="4"/>
      <c r="I131" s="4"/>
      <c r="J131" s="4"/>
      <c r="K131" s="4"/>
    </row>
    <row r="132" spans="1:11" x14ac:dyDescent="0.25">
      <c r="B132" t="str">
        <f t="shared" si="35"/>
        <v>Pastoral</v>
      </c>
      <c r="C132">
        <f t="shared" ref="C132:E138" si="36">C94</f>
        <v>4.7929613540867821</v>
      </c>
      <c r="D132">
        <f t="shared" si="36"/>
        <v>4.2618346064032711</v>
      </c>
      <c r="E132">
        <f t="shared" si="36"/>
        <v>0</v>
      </c>
      <c r="H132" s="4"/>
      <c r="I132" s="4"/>
      <c r="J132" s="4"/>
      <c r="K132" s="4"/>
    </row>
    <row r="133" spans="1:11" x14ac:dyDescent="0.25">
      <c r="B133" t="str">
        <f t="shared" si="35"/>
        <v>Agropastoral</v>
      </c>
      <c r="C133">
        <f t="shared" si="36"/>
        <v>0</v>
      </c>
      <c r="D133">
        <f t="shared" si="36"/>
        <v>5.5240387862072344</v>
      </c>
      <c r="E133">
        <f t="shared" si="36"/>
        <v>4.6267369241573935</v>
      </c>
      <c r="H133" s="4"/>
      <c r="I133" s="4"/>
      <c r="J133" s="4"/>
      <c r="K133" s="4"/>
    </row>
    <row r="134" spans="1:11" x14ac:dyDescent="0.25">
      <c r="B134" t="str">
        <f t="shared" si="35"/>
        <v>Mixed</v>
      </c>
      <c r="C134">
        <f t="shared" si="36"/>
        <v>0</v>
      </c>
      <c r="D134">
        <f t="shared" si="36"/>
        <v>0</v>
      </c>
      <c r="E134">
        <f t="shared" si="36"/>
        <v>1.7461697399216372</v>
      </c>
      <c r="H134" s="4"/>
      <c r="I134" s="4"/>
      <c r="J134" s="4"/>
      <c r="K134" s="4"/>
    </row>
    <row r="135" spans="1:11" x14ac:dyDescent="0.25">
      <c r="B135" t="str">
        <f t="shared" si="35"/>
        <v>Cowcalf</v>
      </c>
      <c r="C135">
        <f t="shared" si="36"/>
        <v>8.4354492414162402E-2</v>
      </c>
      <c r="D135">
        <f t="shared" si="36"/>
        <v>0.38986049346183149</v>
      </c>
      <c r="E135">
        <f t="shared" si="36"/>
        <v>0.63213151986263816</v>
      </c>
      <c r="H135" s="4"/>
      <c r="I135" s="4"/>
      <c r="J135" s="4"/>
      <c r="K135" s="4"/>
    </row>
    <row r="136" spans="1:11" x14ac:dyDescent="0.25">
      <c r="B136" t="str">
        <f t="shared" si="35"/>
        <v>Finisher</v>
      </c>
      <c r="C136">
        <f t="shared" si="36"/>
        <v>5.5233194107263968</v>
      </c>
      <c r="D136">
        <f t="shared" si="36"/>
        <v>7.3613607390169049</v>
      </c>
      <c r="E136">
        <f t="shared" si="36"/>
        <v>6.3933469326829666</v>
      </c>
      <c r="H136" s="4"/>
      <c r="I136" s="4"/>
      <c r="J136" s="4"/>
      <c r="K136" s="4"/>
    </row>
    <row r="137" spans="1:11" x14ac:dyDescent="0.25">
      <c r="B137" t="e">
        <f>#REF!</f>
        <v>#REF!</v>
      </c>
      <c r="C137">
        <f t="shared" si="36"/>
        <v>3.0271361942572905E-2</v>
      </c>
      <c r="D137">
        <f t="shared" si="36"/>
        <v>1.5191844054356305</v>
      </c>
      <c r="E137">
        <f t="shared" si="36"/>
        <v>6.3853780054327789</v>
      </c>
      <c r="H137" s="4"/>
      <c r="I137" s="4"/>
      <c r="J137" s="4"/>
      <c r="K137" s="4"/>
    </row>
    <row r="138" spans="1:11" x14ac:dyDescent="0.25">
      <c r="A138" t="str">
        <f>H89</f>
        <v>+30% Exotic</v>
      </c>
      <c r="B138" t="e">
        <f>#REF!</f>
        <v>#REF!</v>
      </c>
      <c r="C138">
        <f t="shared" si="36"/>
        <v>22.673263960703252</v>
      </c>
      <c r="D138">
        <f t="shared" si="36"/>
        <v>16.240521701214558</v>
      </c>
      <c r="E138">
        <f t="shared" si="36"/>
        <v>13.114203566596995</v>
      </c>
      <c r="H138" s="4"/>
      <c r="I138" s="4"/>
      <c r="J138" s="4"/>
      <c r="K138" s="4"/>
    </row>
    <row r="139" spans="1:11" x14ac:dyDescent="0.25">
      <c r="H139" s="4"/>
      <c r="I139" s="4"/>
      <c r="J139" s="4"/>
      <c r="K139" s="4"/>
    </row>
    <row r="140" spans="1:11" x14ac:dyDescent="0.25">
      <c r="B140" s="58" t="str">
        <f>B131</f>
        <v>Animal populations (M hd) -- SA scenario specific</v>
      </c>
      <c r="C140" s="58"/>
      <c r="D140" s="58"/>
      <c r="E140" s="58"/>
      <c r="H140" s="4"/>
      <c r="I140" s="4"/>
      <c r="J140" s="4"/>
      <c r="K140" s="4"/>
    </row>
    <row r="141" spans="1:11" x14ac:dyDescent="0.25">
      <c r="B141" t="str">
        <f>B132</f>
        <v>Pastoral</v>
      </c>
      <c r="C141">
        <f t="shared" ref="C141:E145" si="37">C94</f>
        <v>4.7929613540867821</v>
      </c>
      <c r="D141">
        <f t="shared" si="37"/>
        <v>4.2618346064032711</v>
      </c>
      <c r="E141">
        <f t="shared" si="37"/>
        <v>0</v>
      </c>
      <c r="H141" s="4"/>
      <c r="I141" s="4"/>
      <c r="J141" s="4"/>
      <c r="K141" s="4"/>
    </row>
    <row r="142" spans="1:11" x14ac:dyDescent="0.25">
      <c r="B142" t="str">
        <f t="shared" ref="B142:B145" si="38">B133</f>
        <v>Agropastoral</v>
      </c>
      <c r="C142">
        <f t="shared" si="37"/>
        <v>0</v>
      </c>
      <c r="D142">
        <f t="shared" si="37"/>
        <v>5.5240387862072344</v>
      </c>
      <c r="E142">
        <f t="shared" si="37"/>
        <v>4.6267369241573935</v>
      </c>
      <c r="H142" s="4"/>
      <c r="I142" s="4"/>
      <c r="J142" s="4"/>
      <c r="K142" s="4"/>
    </row>
    <row r="143" spans="1:11" x14ac:dyDescent="0.25">
      <c r="B143" t="str">
        <f t="shared" si="38"/>
        <v>Mixed</v>
      </c>
      <c r="C143">
        <f t="shared" si="37"/>
        <v>0</v>
      </c>
      <c r="D143">
        <f t="shared" si="37"/>
        <v>0</v>
      </c>
      <c r="E143">
        <f t="shared" si="37"/>
        <v>1.7461697399216372</v>
      </c>
      <c r="H143" s="4"/>
      <c r="I143" s="4"/>
      <c r="J143" s="4"/>
      <c r="K143" s="4"/>
    </row>
    <row r="144" spans="1:11" x14ac:dyDescent="0.25">
      <c r="B144" t="str">
        <f t="shared" si="38"/>
        <v>Cowcalf</v>
      </c>
      <c r="C144">
        <f t="shared" si="37"/>
        <v>8.4354492414162402E-2</v>
      </c>
      <c r="D144">
        <f t="shared" si="37"/>
        <v>0.38986049346183149</v>
      </c>
      <c r="E144">
        <f t="shared" si="37"/>
        <v>0.63213151986263816</v>
      </c>
      <c r="H144" s="4"/>
      <c r="I144" s="4"/>
      <c r="J144" s="4"/>
      <c r="K144" s="4"/>
    </row>
    <row r="145" spans="1:11" x14ac:dyDescent="0.25">
      <c r="A145" t="str">
        <f>H90</f>
        <v>-30% Exotic</v>
      </c>
      <c r="B145" t="str">
        <f t="shared" si="38"/>
        <v>Finisher</v>
      </c>
      <c r="C145">
        <f t="shared" si="37"/>
        <v>5.5233194107263968</v>
      </c>
      <c r="D145">
        <f t="shared" si="37"/>
        <v>7.3613607390169049</v>
      </c>
      <c r="E145">
        <f t="shared" si="37"/>
        <v>6.3933469326829666</v>
      </c>
      <c r="H145" s="4"/>
      <c r="I145" s="4"/>
      <c r="J145" s="4"/>
      <c r="K145" s="4"/>
    </row>
    <row r="146" spans="1:11" x14ac:dyDescent="0.25">
      <c r="H146" s="4"/>
      <c r="I146" s="4"/>
      <c r="J146" s="4"/>
      <c r="K146" s="4"/>
    </row>
    <row r="147" spans="1:11" x14ac:dyDescent="0.25">
      <c r="B147" s="58" t="str">
        <f t="shared" ref="B147:B152" si="39">B140</f>
        <v>Animal populations (M hd) -- SA scenario specific</v>
      </c>
      <c r="C147" s="58"/>
      <c r="D147" s="58"/>
      <c r="E147" s="58"/>
      <c r="H147" s="4"/>
      <c r="I147" s="4"/>
      <c r="J147" s="4"/>
      <c r="K147" s="4"/>
    </row>
    <row r="148" spans="1:11" x14ac:dyDescent="0.25">
      <c r="B148" t="str">
        <f t="shared" si="39"/>
        <v>Pastoral</v>
      </c>
      <c r="C148">
        <f t="shared" ref="C148:E152" si="40">C94</f>
        <v>4.7929613540867821</v>
      </c>
      <c r="D148">
        <f t="shared" si="40"/>
        <v>4.2618346064032711</v>
      </c>
      <c r="E148">
        <f t="shared" si="40"/>
        <v>0</v>
      </c>
      <c r="H148" s="4"/>
      <c r="I148" s="4"/>
      <c r="J148" s="4"/>
      <c r="K148" s="4"/>
    </row>
    <row r="149" spans="1:11" x14ac:dyDescent="0.25">
      <c r="B149" t="str">
        <f t="shared" si="39"/>
        <v>Agropastoral</v>
      </c>
      <c r="C149">
        <f t="shared" si="40"/>
        <v>0</v>
      </c>
      <c r="D149">
        <f t="shared" si="40"/>
        <v>5.5240387862072344</v>
      </c>
      <c r="E149">
        <f t="shared" si="40"/>
        <v>4.6267369241573935</v>
      </c>
      <c r="H149" s="4"/>
      <c r="I149" s="4"/>
      <c r="J149" s="4"/>
      <c r="K149" s="4"/>
    </row>
    <row r="150" spans="1:11" x14ac:dyDescent="0.25">
      <c r="B150" t="str">
        <f t="shared" si="39"/>
        <v>Mixed</v>
      </c>
      <c r="C150">
        <f t="shared" si="40"/>
        <v>0</v>
      </c>
      <c r="D150">
        <f t="shared" si="40"/>
        <v>0</v>
      </c>
      <c r="E150">
        <f t="shared" si="40"/>
        <v>1.7461697399216372</v>
      </c>
      <c r="H150" s="4"/>
      <c r="I150" s="4"/>
      <c r="J150" s="4"/>
      <c r="K150" s="4"/>
    </row>
    <row r="151" spans="1:11" x14ac:dyDescent="0.25">
      <c r="B151" t="str">
        <f t="shared" si="39"/>
        <v>Cowcalf</v>
      </c>
      <c r="C151">
        <f t="shared" si="40"/>
        <v>8.4354492414162402E-2</v>
      </c>
      <c r="D151">
        <f t="shared" si="40"/>
        <v>0.38986049346183149</v>
      </c>
      <c r="E151">
        <f t="shared" si="40"/>
        <v>0.63213151986263816</v>
      </c>
      <c r="H151" s="4"/>
      <c r="I151" s="4"/>
      <c r="J151" s="4"/>
      <c r="K151" s="4"/>
    </row>
    <row r="152" spans="1:11" x14ac:dyDescent="0.25">
      <c r="A152" t="str">
        <f>H91</f>
        <v>+30% Finisher:Breeder</v>
      </c>
      <c r="B152" t="str">
        <f t="shared" si="39"/>
        <v>Finisher</v>
      </c>
      <c r="C152">
        <f t="shared" si="40"/>
        <v>5.5233194107263968</v>
      </c>
      <c r="D152">
        <f t="shared" si="40"/>
        <v>7.3613607390169049</v>
      </c>
      <c r="E152">
        <f t="shared" si="40"/>
        <v>6.3933469326829666</v>
      </c>
      <c r="H152" s="4"/>
      <c r="I152" s="4"/>
      <c r="J152" s="4"/>
      <c r="K152" s="4"/>
    </row>
    <row r="153" spans="1:11" x14ac:dyDescent="0.25">
      <c r="H153" s="4"/>
      <c r="I153" s="4"/>
      <c r="J153" s="4"/>
      <c r="K153" s="4"/>
    </row>
    <row r="154" spans="1:11" x14ac:dyDescent="0.25">
      <c r="B154" s="58" t="str">
        <f t="shared" ref="B154:B159" si="41">B147</f>
        <v>Animal populations (M hd) -- SA scenario specific</v>
      </c>
      <c r="C154" s="58"/>
      <c r="D154" s="58"/>
      <c r="E154" s="58"/>
      <c r="H154" s="4"/>
      <c r="I154" s="4"/>
      <c r="J154" s="4"/>
      <c r="K154" s="4"/>
    </row>
    <row r="155" spans="1:11" x14ac:dyDescent="0.25">
      <c r="B155" t="str">
        <f t="shared" si="41"/>
        <v>Pastoral</v>
      </c>
      <c r="C155">
        <f t="shared" ref="C155:E159" si="42">C94</f>
        <v>4.7929613540867821</v>
      </c>
      <c r="D155">
        <f t="shared" si="42"/>
        <v>4.2618346064032711</v>
      </c>
      <c r="E155">
        <f t="shared" si="42"/>
        <v>0</v>
      </c>
      <c r="H155" s="4"/>
      <c r="I155" s="4"/>
      <c r="J155" s="4"/>
      <c r="K155" s="4"/>
    </row>
    <row r="156" spans="1:11" x14ac:dyDescent="0.25">
      <c r="B156" t="str">
        <f t="shared" si="41"/>
        <v>Agropastoral</v>
      </c>
      <c r="C156">
        <f t="shared" si="42"/>
        <v>0</v>
      </c>
      <c r="D156">
        <f t="shared" si="42"/>
        <v>5.5240387862072344</v>
      </c>
      <c r="E156">
        <f t="shared" si="42"/>
        <v>4.6267369241573935</v>
      </c>
      <c r="H156" s="4"/>
      <c r="I156" s="4"/>
      <c r="J156" s="4"/>
      <c r="K156" s="4"/>
    </row>
    <row r="157" spans="1:11" x14ac:dyDescent="0.25">
      <c r="B157" t="str">
        <f t="shared" si="41"/>
        <v>Mixed</v>
      </c>
      <c r="C157">
        <f t="shared" si="42"/>
        <v>0</v>
      </c>
      <c r="D157">
        <f t="shared" si="42"/>
        <v>0</v>
      </c>
      <c r="E157">
        <f t="shared" si="42"/>
        <v>1.7461697399216372</v>
      </c>
      <c r="H157" s="4"/>
      <c r="I157" s="4"/>
      <c r="J157" s="4"/>
      <c r="K157" s="4"/>
    </row>
    <row r="158" spans="1:11" x14ac:dyDescent="0.25">
      <c r="B158" t="str">
        <f t="shared" si="41"/>
        <v>Cowcalf</v>
      </c>
      <c r="C158">
        <f t="shared" si="42"/>
        <v>8.4354492414162402E-2</v>
      </c>
      <c r="D158">
        <f t="shared" si="42"/>
        <v>0.38986049346183149</v>
      </c>
      <c r="E158">
        <f t="shared" si="42"/>
        <v>0.63213151986263816</v>
      </c>
      <c r="H158" s="4"/>
      <c r="I158" s="4"/>
      <c r="J158" s="4"/>
      <c r="K158" s="4"/>
    </row>
    <row r="159" spans="1:11" x14ac:dyDescent="0.25">
      <c r="A159" t="str">
        <f>H92</f>
        <v>-30% Finisher:Breeder</v>
      </c>
      <c r="B159" t="str">
        <f t="shared" si="41"/>
        <v>Finisher</v>
      </c>
      <c r="C159">
        <f t="shared" si="42"/>
        <v>5.5233194107263968</v>
      </c>
      <c r="D159">
        <f t="shared" si="42"/>
        <v>7.3613607390169049</v>
      </c>
      <c r="E159">
        <f t="shared" si="42"/>
        <v>6.3933469326829666</v>
      </c>
      <c r="H159" s="4"/>
      <c r="I159" s="4"/>
      <c r="J159" s="4"/>
      <c r="K159" s="4"/>
    </row>
    <row r="160" spans="1:11" x14ac:dyDescent="0.25">
      <c r="H160" s="4"/>
      <c r="I160" s="4"/>
      <c r="J160" s="4"/>
      <c r="K160" s="4"/>
    </row>
    <row r="161" spans="1:11" x14ac:dyDescent="0.25">
      <c r="B161" s="58" t="str">
        <f t="shared" ref="B161:B166" si="43">B154</f>
        <v>Animal populations (M hd) -- SA scenario specific</v>
      </c>
      <c r="C161" s="58"/>
      <c r="D161" s="58"/>
      <c r="E161" s="58"/>
      <c r="H161" s="4"/>
      <c r="I161" s="4"/>
      <c r="J161" s="4"/>
      <c r="K161" s="4"/>
    </row>
    <row r="162" spans="1:11" x14ac:dyDescent="0.25">
      <c r="B162" t="str">
        <f t="shared" si="43"/>
        <v>Pastoral</v>
      </c>
      <c r="C162">
        <f t="shared" ref="C162:E166" si="44">C94</f>
        <v>4.7929613540867821</v>
      </c>
      <c r="D162">
        <f t="shared" si="44"/>
        <v>4.2618346064032711</v>
      </c>
      <c r="E162">
        <f t="shared" si="44"/>
        <v>0</v>
      </c>
      <c r="H162" s="4"/>
      <c r="I162" s="4"/>
      <c r="J162" s="4"/>
      <c r="K162" s="4"/>
    </row>
    <row r="163" spans="1:11" x14ac:dyDescent="0.25">
      <c r="B163" t="str">
        <f t="shared" si="43"/>
        <v>Agropastoral</v>
      </c>
      <c r="C163">
        <f t="shared" si="44"/>
        <v>0</v>
      </c>
      <c r="D163">
        <f t="shared" si="44"/>
        <v>5.5240387862072344</v>
      </c>
      <c r="E163">
        <f t="shared" si="44"/>
        <v>4.6267369241573935</v>
      </c>
      <c r="H163" s="4"/>
      <c r="I163" s="4"/>
      <c r="J163" s="4"/>
      <c r="K163" s="4"/>
    </row>
    <row r="164" spans="1:11" x14ac:dyDescent="0.25">
      <c r="B164" t="str">
        <f t="shared" si="43"/>
        <v>Mixed</v>
      </c>
      <c r="C164">
        <f t="shared" si="44"/>
        <v>0</v>
      </c>
      <c r="D164">
        <f t="shared" si="44"/>
        <v>0</v>
      </c>
      <c r="E164">
        <f t="shared" si="44"/>
        <v>1.7461697399216372</v>
      </c>
      <c r="H164" s="4"/>
      <c r="I164" s="4"/>
      <c r="J164" s="4"/>
      <c r="K164" s="4"/>
    </row>
    <row r="165" spans="1:11" x14ac:dyDescent="0.25">
      <c r="B165" t="str">
        <f t="shared" si="43"/>
        <v>Cowcalf</v>
      </c>
      <c r="C165">
        <f t="shared" si="44"/>
        <v>8.4354492414162402E-2</v>
      </c>
      <c r="D165">
        <f t="shared" si="44"/>
        <v>0.38986049346183149</v>
      </c>
      <c r="E165">
        <f t="shared" si="44"/>
        <v>0.63213151986263816</v>
      </c>
      <c r="H165" s="4"/>
      <c r="I165" s="4"/>
      <c r="J165" s="4"/>
      <c r="K165" s="4"/>
    </row>
    <row r="166" spans="1:11" x14ac:dyDescent="0.25">
      <c r="A166" t="str">
        <f>H93</f>
        <v>+30% Pastoral:Agropastoral</v>
      </c>
      <c r="B166" t="str">
        <f t="shared" si="43"/>
        <v>Finisher</v>
      </c>
      <c r="C166">
        <f t="shared" si="44"/>
        <v>5.5233194107263968</v>
      </c>
      <c r="D166">
        <f t="shared" si="44"/>
        <v>7.3613607390169049</v>
      </c>
      <c r="E166">
        <f t="shared" si="44"/>
        <v>6.3933469326829666</v>
      </c>
      <c r="H166" s="4"/>
      <c r="I166" s="4"/>
      <c r="J166" s="4"/>
      <c r="K166" s="4"/>
    </row>
    <row r="167" spans="1:11" x14ac:dyDescent="0.25">
      <c r="H167" s="4"/>
      <c r="I167" s="4"/>
      <c r="J167" s="4"/>
      <c r="K167" s="4"/>
    </row>
    <row r="168" spans="1:11" x14ac:dyDescent="0.25">
      <c r="B168" s="58" t="str">
        <f t="shared" ref="B168:B173" si="45">B161</f>
        <v>Animal populations (M hd) -- SA scenario specific</v>
      </c>
      <c r="C168" s="58"/>
      <c r="D168" s="58"/>
      <c r="E168" s="58"/>
      <c r="H168" s="4"/>
      <c r="I168" s="4"/>
      <c r="J168" s="4"/>
      <c r="K168" s="4"/>
    </row>
    <row r="169" spans="1:11" x14ac:dyDescent="0.25">
      <c r="B169" t="str">
        <f t="shared" si="45"/>
        <v>Pastoral</v>
      </c>
      <c r="C169">
        <f t="shared" ref="C169:E173" si="46">C94</f>
        <v>4.7929613540867821</v>
      </c>
      <c r="D169">
        <f t="shared" si="46"/>
        <v>4.2618346064032711</v>
      </c>
      <c r="E169">
        <f t="shared" si="46"/>
        <v>0</v>
      </c>
      <c r="H169" s="4"/>
      <c r="I169" s="4"/>
      <c r="J169" s="4"/>
      <c r="K169" s="4"/>
    </row>
    <row r="170" spans="1:11" x14ac:dyDescent="0.25">
      <c r="B170" t="str">
        <f t="shared" si="45"/>
        <v>Agropastoral</v>
      </c>
      <c r="C170">
        <f t="shared" si="46"/>
        <v>0</v>
      </c>
      <c r="D170">
        <f t="shared" si="46"/>
        <v>5.5240387862072344</v>
      </c>
      <c r="E170">
        <f t="shared" si="46"/>
        <v>4.6267369241573935</v>
      </c>
      <c r="H170" s="4"/>
      <c r="I170" s="4"/>
      <c r="J170" s="4"/>
      <c r="K170" s="4"/>
    </row>
    <row r="171" spans="1:11" x14ac:dyDescent="0.25">
      <c r="B171" t="str">
        <f t="shared" si="45"/>
        <v>Mixed</v>
      </c>
      <c r="C171">
        <f t="shared" si="46"/>
        <v>0</v>
      </c>
      <c r="D171">
        <f t="shared" si="46"/>
        <v>0</v>
      </c>
      <c r="E171">
        <f t="shared" si="46"/>
        <v>1.7461697399216372</v>
      </c>
      <c r="H171" s="4"/>
      <c r="I171" s="4"/>
      <c r="J171" s="4"/>
      <c r="K171" s="4"/>
    </row>
    <row r="172" spans="1:11" x14ac:dyDescent="0.25">
      <c r="B172" t="str">
        <f t="shared" si="45"/>
        <v>Cowcalf</v>
      </c>
      <c r="C172">
        <f t="shared" si="46"/>
        <v>8.4354492414162402E-2</v>
      </c>
      <c r="D172">
        <f t="shared" si="46"/>
        <v>0.38986049346183149</v>
      </c>
      <c r="E172">
        <f t="shared" si="46"/>
        <v>0.63213151986263816</v>
      </c>
      <c r="H172" s="4"/>
      <c r="I172" s="4"/>
      <c r="J172" s="4"/>
      <c r="K172" s="4"/>
    </row>
    <row r="173" spans="1:11" x14ac:dyDescent="0.25">
      <c r="A173" t="str">
        <f>H94</f>
        <v>-30% Pastoral:Agropastoral</v>
      </c>
      <c r="B173" t="str">
        <f t="shared" si="45"/>
        <v>Finisher</v>
      </c>
      <c r="C173">
        <f t="shared" si="46"/>
        <v>5.5233194107263968</v>
      </c>
      <c r="D173">
        <f t="shared" si="46"/>
        <v>7.3613607390169049</v>
      </c>
      <c r="E173">
        <f t="shared" si="46"/>
        <v>6.3933469326829666</v>
      </c>
      <c r="H173" s="4"/>
      <c r="I173" s="4"/>
      <c r="J173" s="4"/>
      <c r="K173" s="4"/>
    </row>
    <row r="174" spans="1:11" x14ac:dyDescent="0.25">
      <c r="H174" s="4"/>
      <c r="I174" s="4"/>
      <c r="J174" s="4"/>
      <c r="K174" s="4"/>
    </row>
    <row r="175" spans="1:11" x14ac:dyDescent="0.25">
      <c r="B175" s="58" t="str">
        <f t="shared" ref="B175:B180" si="47">B168</f>
        <v>Animal populations (M hd) -- SA scenario specific</v>
      </c>
      <c r="C175" s="58"/>
      <c r="D175" s="58"/>
      <c r="E175" s="58"/>
      <c r="H175" s="4"/>
      <c r="I175" s="4"/>
      <c r="J175" s="4"/>
      <c r="K175" s="4"/>
    </row>
    <row r="176" spans="1:11" x14ac:dyDescent="0.25">
      <c r="B176" t="str">
        <f t="shared" si="47"/>
        <v>Pastoral</v>
      </c>
      <c r="C176" s="40">
        <f>C94*$I$93</f>
        <v>5.7515536249041386</v>
      </c>
      <c r="D176" s="40">
        <f>D94*$I$93</f>
        <v>5.1142015276839254</v>
      </c>
      <c r="E176" s="40">
        <f>E94</f>
        <v>0</v>
      </c>
      <c r="H176" s="4"/>
      <c r="I176" s="4"/>
      <c r="J176" s="4"/>
      <c r="K176" s="4"/>
    </row>
    <row r="177" spans="1:11" x14ac:dyDescent="0.25">
      <c r="B177" t="str">
        <f t="shared" si="47"/>
        <v>Agropastoral</v>
      </c>
      <c r="C177" s="40">
        <f>C95*$I$94</f>
        <v>0</v>
      </c>
      <c r="D177" s="40">
        <f>D95*$I$94</f>
        <v>4.4192310289657879</v>
      </c>
      <c r="E177" s="40">
        <f>E95-0.5</f>
        <v>4.1267369241573935</v>
      </c>
      <c r="H177" s="4"/>
      <c r="I177" s="4"/>
      <c r="J177" s="4"/>
      <c r="K177" s="4"/>
    </row>
    <row r="178" spans="1:11" x14ac:dyDescent="0.25">
      <c r="B178" t="str">
        <f t="shared" si="47"/>
        <v>Mixed</v>
      </c>
      <c r="C178">
        <f t="shared" ref="C178:E180" si="48">C96</f>
        <v>0</v>
      </c>
      <c r="D178">
        <f t="shared" si="48"/>
        <v>0</v>
      </c>
      <c r="E178">
        <f t="shared" si="48"/>
        <v>1.7461697399216372</v>
      </c>
      <c r="H178" s="4"/>
      <c r="I178" s="4"/>
      <c r="J178" s="4"/>
      <c r="K178" s="4"/>
    </row>
    <row r="179" spans="1:11" x14ac:dyDescent="0.25">
      <c r="B179" t="str">
        <f t="shared" si="47"/>
        <v>Cowcalf</v>
      </c>
      <c r="C179">
        <f t="shared" si="48"/>
        <v>8.4354492414162402E-2</v>
      </c>
      <c r="D179">
        <f t="shared" si="48"/>
        <v>0.38986049346183149</v>
      </c>
      <c r="E179">
        <f t="shared" si="48"/>
        <v>0.63213151986263816</v>
      </c>
      <c r="H179" s="4"/>
      <c r="I179" s="4"/>
      <c r="J179" s="4"/>
      <c r="K179" s="4"/>
    </row>
    <row r="180" spans="1:11" x14ac:dyDescent="0.25">
      <c r="A180" t="str">
        <f>H95</f>
        <v>+30% Mixed:Agropastoral</v>
      </c>
      <c r="B180" t="str">
        <f t="shared" si="47"/>
        <v>Finisher</v>
      </c>
      <c r="C180">
        <f t="shared" si="48"/>
        <v>5.5233194107263968</v>
      </c>
      <c r="D180">
        <f t="shared" si="48"/>
        <v>7.3613607390169049</v>
      </c>
      <c r="E180">
        <f t="shared" si="48"/>
        <v>6.3933469326829666</v>
      </c>
      <c r="H180" s="4"/>
      <c r="I180" s="4"/>
      <c r="J180" s="4"/>
      <c r="K180" s="4"/>
    </row>
    <row r="181" spans="1:11" x14ac:dyDescent="0.25">
      <c r="H181" s="4"/>
      <c r="I181" s="4"/>
      <c r="J181" s="4"/>
      <c r="K181" s="4"/>
    </row>
    <row r="182" spans="1:11" x14ac:dyDescent="0.25">
      <c r="B182" s="58" t="str">
        <f t="shared" ref="B182:B187" si="49">B175</f>
        <v>Animal populations (M hd) -- SA scenario specific</v>
      </c>
      <c r="C182" s="58"/>
      <c r="D182" s="58"/>
      <c r="E182" s="58"/>
      <c r="H182" s="4"/>
      <c r="I182" s="4"/>
      <c r="J182" s="4"/>
      <c r="K182" s="4"/>
    </row>
    <row r="183" spans="1:11" x14ac:dyDescent="0.25">
      <c r="B183" t="str">
        <f t="shared" si="49"/>
        <v>Pastoral</v>
      </c>
      <c r="C183" s="40">
        <f>C94*$I$94</f>
        <v>3.8343690832694257</v>
      </c>
      <c r="D183" s="40">
        <f>D94*$I$94</f>
        <v>3.4094676851226171</v>
      </c>
      <c r="E183" s="40">
        <f>E94*$I$94</f>
        <v>0</v>
      </c>
      <c r="H183" s="4"/>
      <c r="I183" s="4"/>
      <c r="J183" s="4"/>
      <c r="K183" s="4"/>
    </row>
    <row r="184" spans="1:11" x14ac:dyDescent="0.25">
      <c r="B184" t="str">
        <f t="shared" si="49"/>
        <v>Agropastoral</v>
      </c>
      <c r="C184" s="40">
        <f>C95*$I$93</f>
        <v>0</v>
      </c>
      <c r="D184" s="40">
        <f t="shared" ref="D184:E184" si="50">D95*$I$93</f>
        <v>6.628846543448681</v>
      </c>
      <c r="E184" s="40">
        <f t="shared" si="50"/>
        <v>5.5520843089888716</v>
      </c>
      <c r="H184" s="4"/>
      <c r="I184" s="4"/>
      <c r="J184" s="4"/>
      <c r="K184" s="4"/>
    </row>
    <row r="185" spans="1:11" x14ac:dyDescent="0.25">
      <c r="B185" t="str">
        <f t="shared" si="49"/>
        <v>Mixed</v>
      </c>
      <c r="C185">
        <f t="shared" ref="C185:E187" si="51">C96</f>
        <v>0</v>
      </c>
      <c r="D185">
        <f t="shared" si="51"/>
        <v>0</v>
      </c>
      <c r="E185">
        <f t="shared" si="51"/>
        <v>1.7461697399216372</v>
      </c>
      <c r="H185" s="4"/>
      <c r="I185" s="4"/>
      <c r="J185" s="4"/>
      <c r="K185" s="4"/>
    </row>
    <row r="186" spans="1:11" x14ac:dyDescent="0.25">
      <c r="B186" t="str">
        <f t="shared" si="49"/>
        <v>Cowcalf</v>
      </c>
      <c r="C186">
        <f t="shared" si="51"/>
        <v>8.4354492414162402E-2</v>
      </c>
      <c r="D186">
        <f t="shared" si="51"/>
        <v>0.38986049346183149</v>
      </c>
      <c r="E186">
        <f t="shared" si="51"/>
        <v>0.63213151986263816</v>
      </c>
      <c r="H186" s="4"/>
      <c r="I186" s="4"/>
      <c r="J186" s="4"/>
      <c r="K186" s="4"/>
    </row>
    <row r="187" spans="1:11" x14ac:dyDescent="0.25">
      <c r="A187" t="str">
        <f>H96</f>
        <v>-30% Mixed:Agropastoral</v>
      </c>
      <c r="B187" t="str">
        <f t="shared" si="49"/>
        <v>Finisher</v>
      </c>
      <c r="C187">
        <f t="shared" si="51"/>
        <v>5.5233194107263968</v>
      </c>
      <c r="D187">
        <f t="shared" si="51"/>
        <v>7.3613607390169049</v>
      </c>
      <c r="E187">
        <f t="shared" si="51"/>
        <v>6.3933469326829666</v>
      </c>
      <c r="H187" s="4"/>
      <c r="I187" s="4"/>
      <c r="J187" s="4"/>
      <c r="K187" s="4"/>
    </row>
    <row r="188" spans="1:11" x14ac:dyDescent="0.25">
      <c r="H188" s="4"/>
      <c r="I188" s="4"/>
      <c r="J188" s="4"/>
      <c r="K188" s="4"/>
    </row>
    <row r="189" spans="1:11" x14ac:dyDescent="0.25">
      <c r="B189" s="58" t="str">
        <f t="shared" ref="B189:B194" si="52">B182</f>
        <v>Animal populations (M hd) -- SA scenario specific</v>
      </c>
      <c r="C189" s="58"/>
      <c r="D189" s="58"/>
      <c r="E189" s="58"/>
      <c r="H189" s="4"/>
      <c r="I189" s="4"/>
      <c r="J189" s="4"/>
      <c r="K189" s="4"/>
    </row>
    <row r="190" spans="1:11" x14ac:dyDescent="0.25">
      <c r="B190" t="str">
        <f t="shared" si="52"/>
        <v>Pastoral</v>
      </c>
      <c r="C190">
        <f>C94</f>
        <v>4.7929613540867821</v>
      </c>
      <c r="D190">
        <f>D94</f>
        <v>4.2618346064032711</v>
      </c>
      <c r="E190">
        <f>E94*I95</f>
        <v>0</v>
      </c>
      <c r="H190" s="4"/>
      <c r="I190" s="4"/>
      <c r="J190" s="4"/>
      <c r="K190" s="4"/>
    </row>
    <row r="191" spans="1:11" x14ac:dyDescent="0.25">
      <c r="B191" t="str">
        <f t="shared" si="52"/>
        <v>Agropastoral</v>
      </c>
      <c r="C191">
        <f>C95</f>
        <v>0</v>
      </c>
      <c r="D191" s="40">
        <f>D95*I96</f>
        <v>4.4192310289657879</v>
      </c>
      <c r="E191" s="40">
        <f>E95*I96</f>
        <v>3.7013895393259149</v>
      </c>
      <c r="H191" s="4"/>
      <c r="I191" s="4"/>
      <c r="J191" s="4"/>
      <c r="K191" s="4"/>
    </row>
    <row r="192" spans="1:11" x14ac:dyDescent="0.25">
      <c r="B192" t="str">
        <f t="shared" si="52"/>
        <v>Mixed</v>
      </c>
      <c r="C192">
        <f>C96</f>
        <v>0</v>
      </c>
      <c r="D192" s="40">
        <f>D96*I95</f>
        <v>0</v>
      </c>
      <c r="E192" s="40">
        <f>E96*I95</f>
        <v>2.0954036879059643</v>
      </c>
      <c r="H192" s="4"/>
      <c r="I192" s="4"/>
      <c r="J192" s="4"/>
      <c r="K192" s="4"/>
    </row>
    <row r="193" spans="1:11" x14ac:dyDescent="0.25">
      <c r="B193" t="str">
        <f t="shared" si="52"/>
        <v>Cowcalf</v>
      </c>
      <c r="C193">
        <f>C97</f>
        <v>8.4354492414162402E-2</v>
      </c>
      <c r="D193">
        <f>D97</f>
        <v>0.38986049346183149</v>
      </c>
      <c r="E193">
        <f>E97</f>
        <v>0.63213151986263816</v>
      </c>
      <c r="H193" s="4"/>
      <c r="I193" s="4"/>
      <c r="J193" s="4"/>
      <c r="K193" s="4"/>
    </row>
    <row r="194" spans="1:11" x14ac:dyDescent="0.25">
      <c r="A194" t="str">
        <f>H97</f>
        <v>+30% Cowcalf:Finisher</v>
      </c>
      <c r="B194" t="str">
        <f t="shared" si="52"/>
        <v>Finisher</v>
      </c>
      <c r="C194">
        <f>C98</f>
        <v>5.5233194107263968</v>
      </c>
      <c r="D194">
        <f>D98</f>
        <v>7.3613607390169049</v>
      </c>
      <c r="E194">
        <f>E98</f>
        <v>6.3933469326829666</v>
      </c>
      <c r="H194" s="4"/>
      <c r="I194" s="4"/>
      <c r="J194" s="4"/>
      <c r="K194" s="4"/>
    </row>
    <row r="195" spans="1:11" x14ac:dyDescent="0.25">
      <c r="H195" s="4"/>
      <c r="I195" s="4"/>
      <c r="J195" s="4"/>
      <c r="K195" s="4"/>
    </row>
    <row r="196" spans="1:11" x14ac:dyDescent="0.25">
      <c r="B196" s="58" t="str">
        <f t="shared" ref="B196:B201" si="53">B189</f>
        <v>Animal populations (M hd) -- SA scenario specific</v>
      </c>
      <c r="C196" s="58"/>
      <c r="D196" s="58"/>
      <c r="E196" s="58"/>
      <c r="H196" s="4"/>
      <c r="I196" s="4"/>
      <c r="J196" s="4"/>
      <c r="K196" s="4"/>
    </row>
    <row r="197" spans="1:11" x14ac:dyDescent="0.25">
      <c r="B197" t="str">
        <f t="shared" si="53"/>
        <v>Pastoral</v>
      </c>
      <c r="C197">
        <f>C94</f>
        <v>4.7929613540867821</v>
      </c>
      <c r="D197">
        <f>D94</f>
        <v>4.2618346064032711</v>
      </c>
      <c r="E197">
        <f>E94</f>
        <v>0</v>
      </c>
      <c r="H197" s="4"/>
      <c r="I197" s="4"/>
      <c r="J197" s="4"/>
      <c r="K197" s="4"/>
    </row>
    <row r="198" spans="1:11" x14ac:dyDescent="0.25">
      <c r="B198" t="str">
        <f t="shared" si="53"/>
        <v>Agropastoral</v>
      </c>
      <c r="C198">
        <f>C95</f>
        <v>0</v>
      </c>
      <c r="D198" s="40">
        <f>D95*I95</f>
        <v>6.628846543448681</v>
      </c>
      <c r="E198" s="40">
        <f>E95*I95</f>
        <v>5.5520843089888716</v>
      </c>
      <c r="H198" s="4"/>
      <c r="I198" s="4"/>
      <c r="J198" s="4"/>
      <c r="K198" s="4"/>
    </row>
    <row r="199" spans="1:11" x14ac:dyDescent="0.25">
      <c r="B199" t="str">
        <f t="shared" si="53"/>
        <v>Mixed</v>
      </c>
      <c r="C199">
        <f>C96</f>
        <v>0</v>
      </c>
      <c r="D199" s="40">
        <f>D96</f>
        <v>0</v>
      </c>
      <c r="E199" s="40">
        <f>E96*I96</f>
        <v>1.3969357919373098</v>
      </c>
      <c r="H199" s="4"/>
      <c r="I199" s="4"/>
      <c r="J199" s="4"/>
      <c r="K199" s="4"/>
    </row>
    <row r="200" spans="1:11" x14ac:dyDescent="0.25">
      <c r="B200" t="str">
        <f t="shared" si="53"/>
        <v>Cowcalf</v>
      </c>
      <c r="C200">
        <f>C97</f>
        <v>8.4354492414162402E-2</v>
      </c>
      <c r="D200">
        <f>D97</f>
        <v>0.38986049346183149</v>
      </c>
      <c r="E200">
        <f>E97</f>
        <v>0.63213151986263816</v>
      </c>
      <c r="H200" s="4"/>
      <c r="I200" s="4"/>
      <c r="J200" s="4"/>
      <c r="K200" s="4"/>
    </row>
    <row r="201" spans="1:11" x14ac:dyDescent="0.25">
      <c r="A201" t="str">
        <f>H98</f>
        <v>-30% Cowcalf:Finisher</v>
      </c>
      <c r="B201" t="str">
        <f t="shared" si="53"/>
        <v>Finisher</v>
      </c>
      <c r="C201">
        <f>C98</f>
        <v>5.5233194107263968</v>
      </c>
      <c r="D201">
        <f>D98</f>
        <v>7.3613607390169049</v>
      </c>
      <c r="E201">
        <f>E98</f>
        <v>6.3933469326829666</v>
      </c>
      <c r="H201" s="4"/>
      <c r="I201" s="4"/>
      <c r="J201" s="4"/>
      <c r="K201" s="4"/>
    </row>
    <row r="202" spans="1:11" x14ac:dyDescent="0.25">
      <c r="H202" s="4"/>
      <c r="I202" s="4"/>
      <c r="J202" s="4"/>
      <c r="K202" s="4"/>
    </row>
    <row r="203" spans="1:11" x14ac:dyDescent="0.25">
      <c r="B203" s="58" t="str">
        <f t="shared" ref="B203:B208" si="54">B196</f>
        <v>Animal populations (M hd) -- SA scenario specific</v>
      </c>
      <c r="C203" s="58"/>
      <c r="D203" s="58"/>
      <c r="E203" s="58"/>
      <c r="H203" s="4"/>
      <c r="I203" s="4"/>
      <c r="J203" s="4"/>
      <c r="K203" s="4"/>
    </row>
    <row r="204" spans="1:11" x14ac:dyDescent="0.25">
      <c r="B204" t="str">
        <f t="shared" si="54"/>
        <v>Pastoral</v>
      </c>
      <c r="C204">
        <f t="shared" ref="C204:E206" si="55">C94</f>
        <v>4.7929613540867821</v>
      </c>
      <c r="D204">
        <f t="shared" si="55"/>
        <v>4.2618346064032711</v>
      </c>
      <c r="E204">
        <f t="shared" si="55"/>
        <v>0</v>
      </c>
      <c r="H204" s="4"/>
      <c r="I204" s="4"/>
      <c r="J204" s="4"/>
      <c r="K204" s="4"/>
    </row>
    <row r="205" spans="1:11" x14ac:dyDescent="0.25">
      <c r="B205" t="str">
        <f t="shared" si="54"/>
        <v>Agropastoral</v>
      </c>
      <c r="C205">
        <f t="shared" si="55"/>
        <v>0</v>
      </c>
      <c r="D205">
        <f t="shared" si="55"/>
        <v>5.5240387862072344</v>
      </c>
      <c r="E205">
        <f t="shared" si="55"/>
        <v>4.6267369241573935</v>
      </c>
      <c r="H205" s="4"/>
      <c r="I205" s="4"/>
      <c r="J205" s="4"/>
      <c r="K205" s="4"/>
    </row>
    <row r="206" spans="1:11" x14ac:dyDescent="0.25">
      <c r="B206" t="str">
        <f t="shared" si="54"/>
        <v>Mixed</v>
      </c>
      <c r="C206">
        <f t="shared" si="55"/>
        <v>0</v>
      </c>
      <c r="D206">
        <f t="shared" si="55"/>
        <v>0</v>
      </c>
      <c r="E206">
        <f t="shared" si="55"/>
        <v>1.7461697399216372</v>
      </c>
      <c r="H206" s="4"/>
      <c r="I206" s="4"/>
      <c r="J206" s="4"/>
      <c r="K206" s="4"/>
    </row>
    <row r="207" spans="1:11" x14ac:dyDescent="0.25">
      <c r="B207" t="str">
        <f t="shared" si="54"/>
        <v>Cowcalf</v>
      </c>
      <c r="C207" s="40">
        <f>C97*I97</f>
        <v>0.10122539089699488</v>
      </c>
      <c r="D207" s="40">
        <f>D97*I97</f>
        <v>0.46783259215419776</v>
      </c>
      <c r="E207" s="40">
        <f>E97*I97</f>
        <v>0.75855782383516579</v>
      </c>
      <c r="H207" s="4"/>
      <c r="I207" s="4"/>
      <c r="J207" s="4"/>
      <c r="K207" s="4"/>
    </row>
    <row r="208" spans="1:11" x14ac:dyDescent="0.25">
      <c r="A208" t="str">
        <f>H99</f>
        <v>+30% Commercial:Subsistence</v>
      </c>
      <c r="B208" t="str">
        <f t="shared" si="54"/>
        <v>Finisher</v>
      </c>
      <c r="C208" s="40">
        <f>C98*I98</f>
        <v>4.4186555285811178</v>
      </c>
      <c r="D208" s="40">
        <f>D98*I98</f>
        <v>5.8890885912135245</v>
      </c>
      <c r="E208" s="40">
        <f>E98*I98</f>
        <v>5.1146775461463738</v>
      </c>
      <c r="H208" s="4"/>
      <c r="I208" s="4"/>
      <c r="J208" s="4"/>
      <c r="K208" s="4"/>
    </row>
    <row r="209" spans="1:11" x14ac:dyDescent="0.25">
      <c r="H209" s="4"/>
      <c r="I209" s="4"/>
      <c r="J209" s="4"/>
      <c r="K209" s="4"/>
    </row>
    <row r="210" spans="1:11" x14ac:dyDescent="0.25">
      <c r="B210" s="58" t="str">
        <f t="shared" ref="B210:B215" si="56">B203</f>
        <v>Animal populations (M hd) -- SA scenario specific</v>
      </c>
      <c r="C210" s="58"/>
      <c r="D210" s="58"/>
      <c r="E210" s="58"/>
      <c r="H210" s="4"/>
      <c r="I210" s="4"/>
      <c r="J210" s="4"/>
      <c r="K210" s="4"/>
    </row>
    <row r="211" spans="1:11" x14ac:dyDescent="0.25">
      <c r="B211" t="str">
        <f t="shared" si="56"/>
        <v>Pastoral</v>
      </c>
      <c r="C211">
        <f t="shared" ref="C211:E213" si="57">C94</f>
        <v>4.7929613540867821</v>
      </c>
      <c r="D211">
        <f t="shared" si="57"/>
        <v>4.2618346064032711</v>
      </c>
      <c r="E211">
        <f t="shared" si="57"/>
        <v>0</v>
      </c>
      <c r="H211" s="4"/>
      <c r="I211" s="4"/>
      <c r="J211" s="4"/>
      <c r="K211" s="4"/>
    </row>
    <row r="212" spans="1:11" x14ac:dyDescent="0.25">
      <c r="B212" t="str">
        <f t="shared" si="56"/>
        <v>Agropastoral</v>
      </c>
      <c r="C212">
        <f t="shared" si="57"/>
        <v>0</v>
      </c>
      <c r="D212">
        <f t="shared" si="57"/>
        <v>5.5240387862072344</v>
      </c>
      <c r="E212">
        <f t="shared" si="57"/>
        <v>4.6267369241573935</v>
      </c>
      <c r="H212" s="4"/>
      <c r="I212" s="4"/>
      <c r="J212" s="4"/>
      <c r="K212" s="4"/>
    </row>
    <row r="213" spans="1:11" x14ac:dyDescent="0.25">
      <c r="B213" t="str">
        <f t="shared" si="56"/>
        <v>Mixed</v>
      </c>
      <c r="C213">
        <f t="shared" si="57"/>
        <v>0</v>
      </c>
      <c r="D213">
        <f t="shared" si="57"/>
        <v>0</v>
      </c>
      <c r="E213">
        <f t="shared" si="57"/>
        <v>1.7461697399216372</v>
      </c>
      <c r="H213" s="4"/>
      <c r="I213" s="4"/>
      <c r="J213" s="4"/>
      <c r="K213" s="4"/>
    </row>
    <row r="214" spans="1:11" x14ac:dyDescent="0.25">
      <c r="B214" t="str">
        <f t="shared" si="56"/>
        <v>Cowcalf</v>
      </c>
      <c r="C214" s="40">
        <f>C97*I98</f>
        <v>6.7483593931329924E-2</v>
      </c>
      <c r="D214" s="40">
        <f>D97*I98</f>
        <v>0.31188839476946523</v>
      </c>
      <c r="E214" s="40">
        <f>E97*I98</f>
        <v>0.50570521589011053</v>
      </c>
      <c r="H214" s="4"/>
      <c r="I214" s="4"/>
      <c r="J214" s="4"/>
      <c r="K214" s="4"/>
    </row>
    <row r="215" spans="1:11" x14ac:dyDescent="0.25">
      <c r="A215" s="36" t="str">
        <f>H100</f>
        <v>-30% Commercial:Subsistence</v>
      </c>
      <c r="B215" t="str">
        <f t="shared" si="56"/>
        <v>Finisher</v>
      </c>
      <c r="C215" s="40">
        <f>C98*I97</f>
        <v>6.6279832928716758</v>
      </c>
      <c r="D215" s="40">
        <f>D98*I97</f>
        <v>8.8336328868202862</v>
      </c>
      <c r="E215" s="40">
        <f>E98*I97</f>
        <v>7.6720163192195594</v>
      </c>
      <c r="H215" s="4"/>
      <c r="I215" s="4"/>
      <c r="J215" s="4"/>
      <c r="K215" s="4"/>
    </row>
    <row r="216" spans="1:11" x14ac:dyDescent="0.25">
      <c r="H216" s="4"/>
      <c r="I216" s="4"/>
      <c r="J216" s="4"/>
      <c r="K216" s="4"/>
    </row>
    <row r="217" spans="1:11" x14ac:dyDescent="0.25">
      <c r="B217" s="58" t="str">
        <f>B102</f>
        <v>Animal populations (M hd) -- SA scenario specific</v>
      </c>
      <c r="C217" s="58"/>
      <c r="D217" s="58"/>
      <c r="E217" s="58"/>
      <c r="H217" s="4"/>
      <c r="I217" s="4"/>
      <c r="J217" s="4"/>
      <c r="K217" s="4"/>
    </row>
    <row r="218" spans="1:11" x14ac:dyDescent="0.25">
      <c r="B218" t="str">
        <f>B211</f>
        <v>Pastoral</v>
      </c>
      <c r="C218" s="40">
        <f>C94*I100</f>
        <v>3.8343690832694257</v>
      </c>
      <c r="D218" s="40">
        <f>D94*I100</f>
        <v>3.4094676851226171</v>
      </c>
      <c r="E218" s="40">
        <f>E94*I100</f>
        <v>0</v>
      </c>
      <c r="H218" s="4"/>
      <c r="I218" s="4"/>
      <c r="J218" s="4"/>
      <c r="K218" s="4"/>
    </row>
    <row r="219" spans="1:11" x14ac:dyDescent="0.25">
      <c r="B219" t="str">
        <f>B212</f>
        <v>Agropastoral</v>
      </c>
      <c r="C219" s="40">
        <f>C95</f>
        <v>0</v>
      </c>
      <c r="D219" s="40">
        <f>D95*I100</f>
        <v>4.4192310289657879</v>
      </c>
      <c r="E219" s="40">
        <f>E95*I100</f>
        <v>3.7013895393259149</v>
      </c>
      <c r="H219" s="4"/>
      <c r="I219" s="4"/>
      <c r="J219" s="4"/>
      <c r="K219" s="4"/>
    </row>
    <row r="220" spans="1:11" x14ac:dyDescent="0.25">
      <c r="B220" t="str">
        <f>B213</f>
        <v>Mixed</v>
      </c>
      <c r="C220" s="40">
        <f>C96*I100</f>
        <v>0</v>
      </c>
      <c r="D220" s="40">
        <f>D96*I100</f>
        <v>0</v>
      </c>
      <c r="E220" s="40">
        <f>E96*I100</f>
        <v>1.3969357919373098</v>
      </c>
      <c r="H220" s="4"/>
      <c r="I220" s="4"/>
      <c r="J220" s="4"/>
      <c r="K220" s="4"/>
    </row>
    <row r="221" spans="1:11" x14ac:dyDescent="0.25">
      <c r="B221" t="str">
        <f>B214</f>
        <v>Cowcalf</v>
      </c>
      <c r="C221" s="40">
        <f>C97*I99</f>
        <v>0.10122539089699488</v>
      </c>
      <c r="D221" s="40">
        <f>D97*I99</f>
        <v>0.46783259215419776</v>
      </c>
      <c r="E221" s="40">
        <f>E97*I99</f>
        <v>0.75855782383516579</v>
      </c>
      <c r="H221" s="4"/>
      <c r="I221" s="4"/>
      <c r="J221" s="4"/>
      <c r="K221" s="4"/>
    </row>
    <row r="222" spans="1:11" x14ac:dyDescent="0.25">
      <c r="B222" t="str">
        <f>B215</f>
        <v>Finisher</v>
      </c>
      <c r="C222" s="40">
        <f>C98*I99</f>
        <v>6.6279832928716758</v>
      </c>
      <c r="D222" s="40">
        <f>D98*I99</f>
        <v>8.8336328868202862</v>
      </c>
      <c r="E222" s="40">
        <f>E98*I99</f>
        <v>7.6720163192195594</v>
      </c>
      <c r="H222" s="4"/>
      <c r="I222" s="4"/>
      <c r="J222" s="4"/>
      <c r="K222" s="4"/>
    </row>
    <row r="223" spans="1:11" x14ac:dyDescent="0.25">
      <c r="A223" s="1" t="s">
        <v>141</v>
      </c>
      <c r="H223" s="4"/>
      <c r="I223" s="4"/>
      <c r="J223" s="4"/>
      <c r="K223" s="4"/>
    </row>
    <row r="224" spans="1:11" x14ac:dyDescent="0.25">
      <c r="B224" s="58" t="str">
        <f t="shared" ref="B224:B229" si="58">B217</f>
        <v>Animal populations (M hd) -- SA scenario specific</v>
      </c>
      <c r="C224" s="58"/>
      <c r="D224" s="58"/>
      <c r="E224" s="58"/>
      <c r="H224" s="4"/>
      <c r="I224" s="4"/>
      <c r="J224" s="4"/>
      <c r="K224" s="4"/>
    </row>
    <row r="225" spans="2:11" x14ac:dyDescent="0.25">
      <c r="B225" t="str">
        <f t="shared" si="58"/>
        <v>Pastoral</v>
      </c>
      <c r="C225" s="40">
        <f>C94*I99</f>
        <v>5.7515536249041386</v>
      </c>
      <c r="D225" s="40">
        <f>D94*I99</f>
        <v>5.1142015276839254</v>
      </c>
      <c r="E225" s="40">
        <f>E94*I985</f>
        <v>0</v>
      </c>
      <c r="H225" s="4"/>
      <c r="I225" s="4"/>
      <c r="J225" s="4"/>
      <c r="K225" s="4"/>
    </row>
    <row r="226" spans="2:11" x14ac:dyDescent="0.25">
      <c r="B226" t="str">
        <f t="shared" si="58"/>
        <v>Agropastoral</v>
      </c>
      <c r="C226" s="40">
        <f>C95*I99</f>
        <v>0</v>
      </c>
      <c r="D226" s="40">
        <f>D95*I99</f>
        <v>6.628846543448681</v>
      </c>
      <c r="E226" s="40">
        <f>E95*I99</f>
        <v>5.5520843089888716</v>
      </c>
      <c r="H226" s="4"/>
      <c r="I226" s="4"/>
      <c r="J226" s="4"/>
      <c r="K226" s="4"/>
    </row>
    <row r="227" spans="2:11" x14ac:dyDescent="0.25">
      <c r="B227" t="str">
        <f t="shared" si="58"/>
        <v>Mixed</v>
      </c>
      <c r="C227" s="40">
        <f>C96*I99</f>
        <v>0</v>
      </c>
      <c r="D227" s="40">
        <f>D96*I99</f>
        <v>0</v>
      </c>
      <c r="E227" s="40">
        <f>E96</f>
        <v>1.7461697399216372</v>
      </c>
      <c r="H227" s="4"/>
      <c r="I227" s="4"/>
      <c r="J227" s="4"/>
      <c r="K227" s="4"/>
    </row>
    <row r="228" spans="2:11" x14ac:dyDescent="0.25">
      <c r="B228" t="str">
        <f t="shared" si="58"/>
        <v>Cowcalf</v>
      </c>
      <c r="C228" s="40">
        <f>C97*I100</f>
        <v>6.7483593931329924E-2</v>
      </c>
      <c r="D228" s="40">
        <f>D97*I100</f>
        <v>0.31188839476946523</v>
      </c>
      <c r="E228" s="40">
        <f>E97*I100</f>
        <v>0.50570521589011053</v>
      </c>
      <c r="H228" s="4"/>
      <c r="I228" s="4"/>
      <c r="J228" s="4"/>
      <c r="K228" s="4"/>
    </row>
    <row r="229" spans="2:11" x14ac:dyDescent="0.25">
      <c r="B229" t="str">
        <f t="shared" si="58"/>
        <v>Finisher</v>
      </c>
      <c r="C229" s="40">
        <f>C98*I100</f>
        <v>4.4186555285811178</v>
      </c>
      <c r="D229" s="40">
        <f>D98*I100</f>
        <v>5.8890885912135245</v>
      </c>
      <c r="E229" s="40">
        <f>E98*I100</f>
        <v>5.1146775461463738</v>
      </c>
      <c r="H229" s="4"/>
      <c r="I229" s="4"/>
      <c r="J229" s="4"/>
      <c r="K229" s="4"/>
    </row>
    <row r="230" spans="2:11" x14ac:dyDescent="0.25">
      <c r="H230" s="4"/>
      <c r="I230" s="4"/>
      <c r="J230" s="4"/>
      <c r="K230" s="4"/>
    </row>
    <row r="231" spans="2:11" x14ac:dyDescent="0.25">
      <c r="B231" s="54" t="s">
        <v>143</v>
      </c>
      <c r="C231" s="56"/>
      <c r="D231" s="56"/>
      <c r="E231" s="56"/>
      <c r="H231" s="4"/>
      <c r="I231" s="4"/>
      <c r="J231" s="4"/>
      <c r="K231" s="4"/>
    </row>
    <row r="232" spans="2:11" x14ac:dyDescent="0.25">
      <c r="B232" t="str">
        <f t="shared" ref="B232:B249" si="59">H83</f>
        <v>+30% Herd size</v>
      </c>
      <c r="C232">
        <f>(SUM(C103:C107))*$I1*1000000</f>
        <v>2436863837.6260452</v>
      </c>
      <c r="D232">
        <f>(SUM(D103:D107))*$I1*1000000</f>
        <v>4108932834.5794458</v>
      </c>
      <c r="E232">
        <f>(SUM(E103:E107))*$I1*1000000</f>
        <v>3139235187.6392622</v>
      </c>
      <c r="H232" s="4"/>
      <c r="I232" s="4"/>
      <c r="J232" s="4"/>
      <c r="K232" s="4"/>
    </row>
    <row r="233" spans="2:11" x14ac:dyDescent="0.25">
      <c r="B233" t="str">
        <f t="shared" si="59"/>
        <v xml:space="preserve">-30% Herd size </v>
      </c>
      <c r="C233">
        <f>(SUM(C111:C115))*$I1*1000000</f>
        <v>1624575891.7506971</v>
      </c>
      <c r="D233">
        <f>(+SUM(D111:D115))*$I1*1000000</f>
        <v>2739288556.3862972</v>
      </c>
      <c r="E233">
        <f>(SUM(E111:E115))*$I1*1000000</f>
        <v>2092823458.4261754</v>
      </c>
      <c r="H233" s="4"/>
      <c r="I233" s="4"/>
      <c r="J233" s="4"/>
      <c r="K233" s="4"/>
    </row>
    <row r="234" spans="2:11" x14ac:dyDescent="0.25">
      <c r="B234" t="str">
        <f t="shared" si="59"/>
        <v>+30% Zebu</v>
      </c>
      <c r="C234">
        <f>(SUM(C118:C122))*$I1*1000000</f>
        <v>2030719864.6883712</v>
      </c>
      <c r="D234">
        <f>(+SUM(D118:D122))*$I1*1000000</f>
        <v>3424110695.4828715</v>
      </c>
      <c r="E234">
        <f>(SUM(E118:E122))*$I1*1000000</f>
        <v>2616029323.0327182</v>
      </c>
      <c r="H234" s="4"/>
      <c r="I234" s="4"/>
      <c r="J234" s="4"/>
      <c r="K234" s="4"/>
    </row>
    <row r="235" spans="2:11" x14ac:dyDescent="0.25">
      <c r="B235" t="str">
        <f t="shared" si="59"/>
        <v>-30% Zebu</v>
      </c>
      <c r="C235">
        <f>(SUM(C125:C129))*$I1*1000000</f>
        <v>2030719864.6883712</v>
      </c>
      <c r="D235">
        <f>(+SUM(D125:D129))*$I1*1000000</f>
        <v>3424110695.4828715</v>
      </c>
      <c r="E235">
        <f>(SUM(E125:E129))*$I1*1000000</f>
        <v>2616029323.0327182</v>
      </c>
      <c r="H235" s="4"/>
      <c r="I235" s="4"/>
      <c r="J235" s="4"/>
      <c r="K235" s="4"/>
    </row>
    <row r="236" spans="2:11" x14ac:dyDescent="0.25">
      <c r="B236" t="str">
        <f t="shared" si="59"/>
        <v>+30% Boran</v>
      </c>
      <c r="C236">
        <f>(SUM(C132:C136))*$I1*1000000</f>
        <v>2030719864.6883712</v>
      </c>
      <c r="D236">
        <f>(+SUM(D132:D136))*$I1*1000000</f>
        <v>3424110695.4828715</v>
      </c>
      <c r="E236">
        <f>(SUM(E132:E136))*$I1*1000000</f>
        <v>2616029323.0327182</v>
      </c>
      <c r="H236" s="4"/>
      <c r="I236" s="4"/>
      <c r="J236" s="4"/>
      <c r="K236" s="4"/>
    </row>
    <row r="237" spans="2:11" x14ac:dyDescent="0.25">
      <c r="B237" t="str">
        <f t="shared" si="59"/>
        <v>-30% Boran</v>
      </c>
      <c r="C237">
        <f>(SUM(C141:C145))*$I1*1000000</f>
        <v>2030719864.6883712</v>
      </c>
      <c r="D237">
        <f>(+SUM(D141:D145))*$I1*1000000</f>
        <v>3424110695.4828715</v>
      </c>
      <c r="E237">
        <f>(SUM(E141:E145))*$I1*1000000</f>
        <v>2616029323.0327182</v>
      </c>
      <c r="H237" s="4"/>
      <c r="I237" s="4"/>
      <c r="J237" s="4"/>
      <c r="K237" s="4"/>
    </row>
    <row r="238" spans="2:11" x14ac:dyDescent="0.25">
      <c r="B238" t="str">
        <f t="shared" si="59"/>
        <v>+30% Exotic</v>
      </c>
      <c r="C238">
        <f>(SUM(C148:C152))*$I1*1000000</f>
        <v>2030719864.6883712</v>
      </c>
      <c r="D238">
        <f>(+SUM(D148:D152))*$I1*1000000</f>
        <v>3424110695.4828715</v>
      </c>
      <c r="E238">
        <f>(SUM(E148:E152))*$I1*1000000</f>
        <v>2616029323.0327182</v>
      </c>
      <c r="H238" s="4"/>
      <c r="I238" s="4"/>
      <c r="J238" s="4"/>
      <c r="K238" s="4"/>
    </row>
    <row r="239" spans="2:11" x14ac:dyDescent="0.25">
      <c r="B239" t="str">
        <f t="shared" si="59"/>
        <v>-30% Exotic</v>
      </c>
      <c r="C239">
        <f>(SUM(C155:C159))*$I1*1000000</f>
        <v>2030719864.6883712</v>
      </c>
      <c r="D239">
        <f>(+SUM(D155:D159))*$I1*1000000</f>
        <v>3424110695.4828715</v>
      </c>
      <c r="E239">
        <f>(SUM(E155:E159))*$I1*1000000</f>
        <v>2616029323.0327182</v>
      </c>
      <c r="H239" s="4"/>
      <c r="I239" s="4"/>
      <c r="J239" s="4"/>
      <c r="K239" s="4"/>
    </row>
    <row r="240" spans="2:11" x14ac:dyDescent="0.25">
      <c r="B240" t="str">
        <f t="shared" si="59"/>
        <v>+30% Finisher:Breeder</v>
      </c>
      <c r="C240">
        <f>(SUM(C162:C166))*$I1*1000000</f>
        <v>2030719864.6883712</v>
      </c>
      <c r="D240">
        <f>(+SUM(D162:D166))*$I1*1000000</f>
        <v>3424110695.4828715</v>
      </c>
      <c r="E240">
        <f>(SUM(E162:E166))*$I1*1000000</f>
        <v>2616029323.0327182</v>
      </c>
      <c r="H240" s="4"/>
      <c r="I240" s="4"/>
      <c r="J240" s="4"/>
      <c r="K240" s="4"/>
    </row>
    <row r="241" spans="2:11" x14ac:dyDescent="0.25">
      <c r="B241" t="str">
        <f t="shared" si="59"/>
        <v>-30% Finisher:Breeder</v>
      </c>
      <c r="C241">
        <f>(SUM(C169:C173))*$I1*1000000</f>
        <v>2030719864.6883712</v>
      </c>
      <c r="D241">
        <f>(+SUM(D169:D173))*$I1*1000000</f>
        <v>3424110695.4828715</v>
      </c>
      <c r="E241">
        <f>(SUM(E169:E173))*$I1*1000000</f>
        <v>2616029323.0327182</v>
      </c>
      <c r="H241" s="4"/>
      <c r="I241" s="4"/>
      <c r="J241" s="4"/>
      <c r="K241" s="4"/>
    </row>
    <row r="242" spans="2:11" x14ac:dyDescent="0.25">
      <c r="B242" t="str">
        <f t="shared" si="59"/>
        <v>+30% Pastoral:Agropastoral</v>
      </c>
      <c r="C242" s="43">
        <f>(SUM(C176:C180))*$I1*1000000</f>
        <v>2217884621.2961793</v>
      </c>
      <c r="D242" s="43">
        <f>(+SUM(D176:D180))*$I1*1000000</f>
        <v>3374821723.4570632</v>
      </c>
      <c r="E242" s="43">
        <f>((SUM(E176:E180)))*$I1*1000000</f>
        <v>2518404523.4668822</v>
      </c>
      <c r="H242" s="4"/>
      <c r="I242" s="4"/>
      <c r="J242" s="4"/>
      <c r="K242" s="4"/>
    </row>
    <row r="243" spans="2:11" x14ac:dyDescent="0.25">
      <c r="B243" t="str">
        <f t="shared" si="59"/>
        <v>-30% Pastoral:Agropastoral</v>
      </c>
      <c r="C243" s="43">
        <f>(SUM(C183:C187))*$I1*1000000</f>
        <v>1843555108.0805635</v>
      </c>
      <c r="D243" s="43">
        <f>(+SUM(D183:D187))*$I1*1000000</f>
        <v>3473399667.5086808</v>
      </c>
      <c r="E243" s="43">
        <f>((SUM(E183:E187)))*$I1*1000000</f>
        <v>2796703028.9786057</v>
      </c>
      <c r="H243" s="4"/>
      <c r="I243" s="4"/>
      <c r="J243" s="4"/>
      <c r="K243" s="4"/>
    </row>
    <row r="244" spans="2:11" x14ac:dyDescent="0.25">
      <c r="B244" t="str">
        <f t="shared" si="59"/>
        <v>+30% Mixed:Agropastoral</v>
      </c>
      <c r="C244">
        <f>(SUM(C190:C194))*$I1*1000000</f>
        <v>2030719864.6883712</v>
      </c>
      <c r="D244">
        <f>(+SUM(D190:D194))*$I1*1000000</f>
        <v>3208397423.7639179</v>
      </c>
      <c r="E244">
        <f>(SUM(E190:E194))*$I1*1000000</f>
        <v>2503543405.4339423</v>
      </c>
      <c r="H244" s="4"/>
      <c r="I244" s="4"/>
      <c r="J244" s="4"/>
      <c r="K244" s="4"/>
    </row>
    <row r="245" spans="2:11" x14ac:dyDescent="0.25">
      <c r="B245" t="str">
        <f t="shared" si="59"/>
        <v>-30% Mixed:Agropastoral</v>
      </c>
      <c r="C245">
        <f>(SUM(C197:C201))*$I1*1000000</f>
        <v>2030719864.6883712</v>
      </c>
      <c r="D245">
        <f>(+SUM(D197:D201))*$I1*1000000</f>
        <v>3639823967.2018251</v>
      </c>
      <c r="E245">
        <f>(SUM(E197:E201))*$I1*1000000</f>
        <v>2728515240.6314945</v>
      </c>
      <c r="H245" s="4"/>
      <c r="I245" s="4"/>
      <c r="J245" s="4"/>
      <c r="K245" s="4"/>
    </row>
    <row r="246" spans="2:11" x14ac:dyDescent="0.25">
      <c r="B246" t="str">
        <f t="shared" si="59"/>
        <v>+30% Cowcalf:Finisher</v>
      </c>
      <c r="C246">
        <f>(SUM(C204:C208))*$I1*1000000</f>
        <v>1818328720.6900334</v>
      </c>
      <c r="D246">
        <f>(+SUM(D204:D208))*$I1*1000000</f>
        <v>3151874169.8246756</v>
      </c>
      <c r="E246">
        <f>(SUM(E204:E208))*$I1*1000000</f>
        <v>2391054323.0598426</v>
      </c>
      <c r="H246" s="4"/>
      <c r="I246" s="4"/>
      <c r="J246" s="4"/>
      <c r="K246" s="4"/>
    </row>
    <row r="247" spans="2:11" x14ac:dyDescent="0.25">
      <c r="B247" t="str">
        <f t="shared" si="59"/>
        <v>-30% Cowcalf:Finisher</v>
      </c>
      <c r="C247">
        <f>(SUM(C211:C215))*$I1*1000000</f>
        <v>2243111008.6867094</v>
      </c>
      <c r="D247">
        <f>(+SUM(D211:D215))*$I1*1000000</f>
        <v>3696347221.1410675</v>
      </c>
      <c r="E247">
        <f>(SUM(E211:E215))*$I1*1000000</f>
        <v>2841004323.0055943</v>
      </c>
      <c r="H247" s="4"/>
      <c r="I247" s="4"/>
      <c r="J247" s="4"/>
      <c r="K247" s="4"/>
    </row>
    <row r="248" spans="2:11" x14ac:dyDescent="0.25">
      <c r="B248" t="str">
        <f t="shared" si="59"/>
        <v>+30% Commercial:Subsistence</v>
      </c>
      <c r="C248">
        <f>(SUM(C218:C222))*$I1*1000000</f>
        <v>2062534324.4104297</v>
      </c>
      <c r="D248">
        <f>(+SUM(D218:D222))*$I1*1000000</f>
        <v>3344657691.7552485</v>
      </c>
      <c r="E248">
        <f>(SUM(E218:E222))*$I1*1000000</f>
        <v>2641512199.0532656</v>
      </c>
      <c r="H248" s="4"/>
      <c r="I248" s="4"/>
      <c r="J248" s="4"/>
      <c r="K248" s="4"/>
    </row>
    <row r="249" spans="2:11" x14ac:dyDescent="0.25">
      <c r="B249" t="str">
        <f t="shared" si="59"/>
        <v>-30% Commercial:Subsistence</v>
      </c>
      <c r="C249">
        <f>(SUM(C225:C229))*$I1*1000000</f>
        <v>1998905404.9663126</v>
      </c>
      <c r="D249">
        <f>(+SUM(D225:D229))*$I1*1000000</f>
        <v>3503563699.210495</v>
      </c>
      <c r="E249">
        <f>(SUM(E225:E229))*$I1*1000000</f>
        <v>2522358658.66506</v>
      </c>
      <c r="H249" s="4"/>
      <c r="I249" s="4"/>
      <c r="J249" s="4"/>
      <c r="K249" s="4"/>
    </row>
    <row r="250" spans="2:11" x14ac:dyDescent="0.25">
      <c r="B250" t="s">
        <v>59</v>
      </c>
      <c r="C250">
        <f t="shared" ref="C250:E251" si="60">(C46)*$I4*1000000</f>
        <v>6084543.7504571546</v>
      </c>
      <c r="D250">
        <f t="shared" si="60"/>
        <v>305356065.49256176</v>
      </c>
      <c r="E250">
        <f t="shared" si="60"/>
        <v>1283460979.0919886</v>
      </c>
      <c r="H250" s="4"/>
      <c r="I250" s="4"/>
      <c r="J250" s="4"/>
      <c r="K250" s="4"/>
    </row>
    <row r="251" spans="2:11" x14ac:dyDescent="0.25">
      <c r="B251" t="s">
        <v>79</v>
      </c>
      <c r="C251">
        <f t="shared" si="60"/>
        <v>634851390.8996911</v>
      </c>
      <c r="D251">
        <f t="shared" si="60"/>
        <v>454734607.63400757</v>
      </c>
      <c r="E251">
        <f t="shared" si="60"/>
        <v>367197699.86471581</v>
      </c>
      <c r="H251" s="4"/>
      <c r="I251" s="4"/>
      <c r="J251" s="4"/>
      <c r="K251" s="4"/>
    </row>
    <row r="252" spans="2:11" x14ac:dyDescent="0.25">
      <c r="H252" s="4"/>
      <c r="I252" s="4"/>
      <c r="J252" s="4"/>
      <c r="K252" s="4"/>
    </row>
    <row r="253" spans="2:11" x14ac:dyDescent="0.25">
      <c r="B253" s="55" t="s">
        <v>142</v>
      </c>
      <c r="C253" s="55"/>
      <c r="D253" s="55"/>
      <c r="E253" s="55"/>
      <c r="H253" s="4"/>
      <c r="I253" s="4"/>
      <c r="J253" s="4"/>
      <c r="K253" s="4"/>
    </row>
    <row r="254" spans="2:11" x14ac:dyDescent="0.25">
      <c r="B254" t="str">
        <f>B232</f>
        <v>+30% Herd size</v>
      </c>
      <c r="C254" s="7">
        <f t="shared" ref="C254:C271" si="61">365*(C232+C$250+C$251)*(1-$I$6)*($I$9)/1000/1000000</f>
        <v>22.018579570863892</v>
      </c>
      <c r="D254" s="7">
        <f t="shared" ref="D254:D271" si="62">365*(D232+D$250+D$251)*(1-$I$7)*($I$9)/1000/1000000</f>
        <v>33.766678025941211</v>
      </c>
      <c r="E254" s="7">
        <f>365*(E232+E$250+E$251)*(1-$I$6)*($I$9)/1000/1000000</f>
        <v>34.266900721627543</v>
      </c>
      <c r="H254" s="4"/>
      <c r="I254" s="4"/>
      <c r="J254" s="4"/>
      <c r="K254" s="4"/>
    </row>
    <row r="255" spans="2:11" x14ac:dyDescent="0.25">
      <c r="B255" t="str">
        <f t="shared" ref="B255:B271" si="63">B233</f>
        <v xml:space="preserve">-30% Herd size </v>
      </c>
      <c r="C255" s="7">
        <f t="shared" si="61"/>
        <v>16.207471606071646</v>
      </c>
      <c r="D255" s="7">
        <f t="shared" si="62"/>
        <v>24.268194956671731</v>
      </c>
      <c r="E255" s="7">
        <f t="shared" ref="E255:E271" si="64">365*(E233+E$250+E$251)*(1-$I$8)*($I$9)/1000/1000000</f>
        <v>24.048129250547618</v>
      </c>
      <c r="H255" s="4"/>
      <c r="I255" s="4"/>
      <c r="J255" s="4"/>
      <c r="K255" s="4"/>
    </row>
    <row r="256" spans="2:11" x14ac:dyDescent="0.25">
      <c r="B256" t="str">
        <f t="shared" si="63"/>
        <v>+30% Zebu</v>
      </c>
      <c r="C256" s="7">
        <f t="shared" si="61"/>
        <v>19.113025588467767</v>
      </c>
      <c r="D256" s="7">
        <f t="shared" si="62"/>
        <v>29.017436491306469</v>
      </c>
      <c r="E256" s="7">
        <f t="shared" si="64"/>
        <v>27.409203724780056</v>
      </c>
      <c r="H256" s="4"/>
      <c r="I256" s="4"/>
      <c r="J256" s="4"/>
      <c r="K256" s="4"/>
    </row>
    <row r="257" spans="2:11" x14ac:dyDescent="0.25">
      <c r="B257" t="str">
        <f t="shared" si="63"/>
        <v>-30% Zebu</v>
      </c>
      <c r="C257" s="7">
        <f t="shared" si="61"/>
        <v>19.113025588467767</v>
      </c>
      <c r="D257" s="7">
        <f t="shared" si="62"/>
        <v>29.017436491306469</v>
      </c>
      <c r="E257" s="7">
        <f t="shared" si="64"/>
        <v>27.409203724780056</v>
      </c>
      <c r="H257" s="4"/>
      <c r="I257" s="4"/>
      <c r="J257" s="4"/>
      <c r="K257" s="4"/>
    </row>
    <row r="258" spans="2:11" x14ac:dyDescent="0.25">
      <c r="B258" t="str">
        <f t="shared" si="63"/>
        <v>+30% Boran</v>
      </c>
      <c r="C258" s="7">
        <f t="shared" si="61"/>
        <v>19.113025588467767</v>
      </c>
      <c r="D258" s="7">
        <f t="shared" si="62"/>
        <v>29.017436491306469</v>
      </c>
      <c r="E258" s="7">
        <f t="shared" si="64"/>
        <v>27.409203724780056</v>
      </c>
      <c r="H258" s="4"/>
      <c r="I258" s="4"/>
      <c r="J258" s="4"/>
      <c r="K258" s="4"/>
    </row>
    <row r="259" spans="2:11" x14ac:dyDescent="0.25">
      <c r="B259" t="str">
        <f t="shared" si="63"/>
        <v>-30% Boran</v>
      </c>
      <c r="C259" s="7">
        <f t="shared" si="61"/>
        <v>19.113025588467767</v>
      </c>
      <c r="D259" s="7">
        <f t="shared" si="62"/>
        <v>29.017436491306469</v>
      </c>
      <c r="E259" s="7">
        <f t="shared" si="64"/>
        <v>27.409203724780056</v>
      </c>
      <c r="H259" s="4"/>
      <c r="I259" s="4"/>
      <c r="J259" s="4"/>
      <c r="K259" s="4"/>
    </row>
    <row r="260" spans="2:11" x14ac:dyDescent="0.25">
      <c r="B260" t="str">
        <f t="shared" si="63"/>
        <v>+30% Exotic</v>
      </c>
      <c r="C260" s="7">
        <f t="shared" si="61"/>
        <v>19.113025588467767</v>
      </c>
      <c r="D260" s="7">
        <f t="shared" si="62"/>
        <v>29.017436491306469</v>
      </c>
      <c r="E260" s="7">
        <f t="shared" si="64"/>
        <v>27.409203724780056</v>
      </c>
      <c r="H260" s="4"/>
      <c r="I260" s="4"/>
      <c r="J260" s="4"/>
      <c r="K260" s="4"/>
    </row>
    <row r="261" spans="2:11" x14ac:dyDescent="0.25">
      <c r="B261" t="str">
        <f t="shared" si="63"/>
        <v>-30% Exotic</v>
      </c>
      <c r="C261" s="7">
        <f t="shared" si="61"/>
        <v>19.113025588467767</v>
      </c>
      <c r="D261" s="7">
        <f t="shared" si="62"/>
        <v>29.017436491306469</v>
      </c>
      <c r="E261" s="7">
        <f t="shared" si="64"/>
        <v>27.409203724780056</v>
      </c>
      <c r="H261" s="4"/>
      <c r="I261" s="4"/>
      <c r="J261" s="4"/>
      <c r="K261" s="4"/>
    </row>
    <row r="262" spans="2:11" x14ac:dyDescent="0.25">
      <c r="B262" t="str">
        <f t="shared" si="63"/>
        <v>+30% Finisher:Breeder</v>
      </c>
      <c r="C262" s="7">
        <f t="shared" si="61"/>
        <v>19.113025588467767</v>
      </c>
      <c r="D262" s="7">
        <f t="shared" si="62"/>
        <v>29.017436491306469</v>
      </c>
      <c r="E262" s="7">
        <f t="shared" si="64"/>
        <v>27.409203724780056</v>
      </c>
      <c r="H262" s="4"/>
      <c r="I262" s="4"/>
      <c r="J262" s="4"/>
      <c r="K262" s="4"/>
    </row>
    <row r="263" spans="2:11" x14ac:dyDescent="0.25">
      <c r="B263" t="str">
        <f t="shared" si="63"/>
        <v>-30% Finisher:Breeder</v>
      </c>
      <c r="C263" s="7">
        <f t="shared" si="61"/>
        <v>19.113025588467767</v>
      </c>
      <c r="D263" s="7">
        <f t="shared" si="62"/>
        <v>29.017436491306469</v>
      </c>
      <c r="E263" s="7">
        <f t="shared" si="64"/>
        <v>27.409203724780056</v>
      </c>
      <c r="H263" s="4"/>
      <c r="I263" s="4"/>
      <c r="J263" s="4"/>
      <c r="K263" s="4"/>
    </row>
    <row r="264" spans="2:11" x14ac:dyDescent="0.25">
      <c r="B264" t="str">
        <f t="shared" si="63"/>
        <v>+30% Pastoral:Agropastoral</v>
      </c>
      <c r="C264" s="7">
        <f t="shared" si="61"/>
        <v>20.452002257240029</v>
      </c>
      <c r="D264" s="7">
        <f t="shared" si="62"/>
        <v>28.675617470307493</v>
      </c>
      <c r="E264" s="45">
        <f t="shared" si="64"/>
        <v>26.782062012369121</v>
      </c>
      <c r="H264" s="4"/>
      <c r="I264" s="4"/>
      <c r="J264" s="4"/>
      <c r="K264" s="4"/>
    </row>
    <row r="265" spans="2:11" x14ac:dyDescent="0.25">
      <c r="B265" t="str">
        <f t="shared" si="63"/>
        <v>-30% Pastoral:Agropastoral</v>
      </c>
      <c r="C265" s="7">
        <f t="shared" si="61"/>
        <v>17.774048919695517</v>
      </c>
      <c r="D265" s="7">
        <f t="shared" si="62"/>
        <v>29.359255512305456</v>
      </c>
      <c r="E265" s="45">
        <f t="shared" si="64"/>
        <v>28.569851611776436</v>
      </c>
      <c r="H265" s="4"/>
      <c r="I265" s="4"/>
      <c r="J265" s="4"/>
      <c r="K265" s="4"/>
    </row>
    <row r="266" spans="2:11" x14ac:dyDescent="0.25">
      <c r="B266" t="str">
        <f t="shared" si="63"/>
        <v>+30% Mixed:Agropastoral</v>
      </c>
      <c r="C266" s="7">
        <f t="shared" si="61"/>
        <v>19.113025588467767</v>
      </c>
      <c r="D266" s="7">
        <f t="shared" si="62"/>
        <v>27.521464951935528</v>
      </c>
      <c r="E266" s="7">
        <f t="shared" si="64"/>
        <v>26.686594190125518</v>
      </c>
      <c r="H266" s="4"/>
      <c r="I266" s="4"/>
      <c r="J266" s="4"/>
      <c r="K266" s="4"/>
    </row>
    <row r="267" spans="2:11" x14ac:dyDescent="0.25">
      <c r="B267" t="str">
        <f t="shared" si="63"/>
        <v>-30% Mixed:Agropastoral</v>
      </c>
      <c r="C267" s="7">
        <f t="shared" si="61"/>
        <v>19.113025588467767</v>
      </c>
      <c r="D267" s="7">
        <f t="shared" si="62"/>
        <v>30.513408030677418</v>
      </c>
      <c r="E267" s="7">
        <f t="shared" si="64"/>
        <v>28.131813259434587</v>
      </c>
      <c r="H267" s="4"/>
      <c r="I267" s="4"/>
      <c r="J267" s="4"/>
      <c r="K267" s="4"/>
    </row>
    <row r="268" spans="2:11" x14ac:dyDescent="0.25">
      <c r="B268" t="str">
        <f t="shared" si="63"/>
        <v>+30% Cowcalf:Finisher</v>
      </c>
      <c r="C268" s="7">
        <f t="shared" si="61"/>
        <v>17.593579344303652</v>
      </c>
      <c r="D268" s="7">
        <f t="shared" si="62"/>
        <v>27.129476185866881</v>
      </c>
      <c r="E268" s="7">
        <f t="shared" si="64"/>
        <v>25.963964324954304</v>
      </c>
      <c r="H268" s="4"/>
      <c r="I268" s="4"/>
      <c r="J268" s="4"/>
      <c r="K268" s="4"/>
    </row>
    <row r="269" spans="2:11" x14ac:dyDescent="0.25">
      <c r="B269" t="str">
        <f t="shared" si="63"/>
        <v>-30% Cowcalf:Finisher</v>
      </c>
      <c r="C269" s="7">
        <f t="shared" si="61"/>
        <v>20.632471832631882</v>
      </c>
      <c r="D269" s="7">
        <f t="shared" si="62"/>
        <v>30.905396796746061</v>
      </c>
      <c r="E269" s="7">
        <f t="shared" si="64"/>
        <v>28.854443124605805</v>
      </c>
      <c r="H269" s="4"/>
      <c r="I269" s="4"/>
      <c r="J269" s="4"/>
      <c r="K269" s="4"/>
    </row>
    <row r="270" spans="2:11" x14ac:dyDescent="0.25">
      <c r="B270" t="str">
        <f t="shared" si="63"/>
        <v>+30% Commercial:Subsistence</v>
      </c>
      <c r="C270" s="7">
        <f t="shared" si="61"/>
        <v>19.340626233319377</v>
      </c>
      <c r="D270" s="7">
        <f t="shared" si="62"/>
        <v>28.466429910455407</v>
      </c>
      <c r="E270" s="7">
        <f t="shared" si="64"/>
        <v>27.572905720336045</v>
      </c>
      <c r="H270" s="4"/>
      <c r="I270" s="4"/>
      <c r="J270" s="4"/>
      <c r="K270" s="4"/>
    </row>
    <row r="271" spans="2:11" x14ac:dyDescent="0.25">
      <c r="B271" t="str">
        <f t="shared" si="63"/>
        <v>-30% Commercial:Subsistence</v>
      </c>
      <c r="C271" s="7">
        <f t="shared" si="61"/>
        <v>18.885424943616162</v>
      </c>
      <c r="D271" s="7">
        <f t="shared" si="62"/>
        <v>29.568443072157539</v>
      </c>
      <c r="E271" s="7">
        <f t="shared" si="64"/>
        <v>26.807463376882215</v>
      </c>
      <c r="H271" s="4"/>
      <c r="I271" s="4"/>
      <c r="J271" s="4"/>
      <c r="K271" s="4"/>
    </row>
    <row r="272" spans="2:11" x14ac:dyDescent="0.25">
      <c r="H272" s="4"/>
      <c r="I272" s="4"/>
      <c r="J272" s="4"/>
      <c r="K272" s="4"/>
    </row>
    <row r="273" spans="2:11" x14ac:dyDescent="0.25">
      <c r="C273" s="7"/>
      <c r="H273" s="4"/>
      <c r="I273" s="4"/>
      <c r="J273" s="4"/>
      <c r="K273" s="4"/>
    </row>
    <row r="274" spans="2:11" x14ac:dyDescent="0.25">
      <c r="B274" s="18" t="s">
        <v>145</v>
      </c>
      <c r="C274" s="27">
        <f>C62</f>
        <v>12.151858686054949</v>
      </c>
      <c r="D274" s="27">
        <f>D62</f>
        <v>19.619822257325151</v>
      </c>
      <c r="E274" s="27">
        <f>E62</f>
        <v>14.483559517089713</v>
      </c>
      <c r="H274" s="4"/>
      <c r="I274" s="4"/>
      <c r="J274" s="4"/>
      <c r="K274" s="4"/>
    </row>
    <row r="275" spans="2:11" x14ac:dyDescent="0.25">
      <c r="B275" s="1"/>
      <c r="C275" s="13"/>
      <c r="D275" s="13"/>
      <c r="E275" s="13"/>
      <c r="H275" s="4"/>
      <c r="I275" s="4"/>
      <c r="J275" s="4"/>
      <c r="K275" s="4"/>
    </row>
    <row r="276" spans="2:11" x14ac:dyDescent="0.25">
      <c r="B276" s="17" t="s">
        <v>147</v>
      </c>
      <c r="C276" s="13">
        <f>C22</f>
        <v>1.2763875352027529</v>
      </c>
      <c r="D276" s="13">
        <f>D22</f>
        <v>1.2899708259424072</v>
      </c>
      <c r="E276" s="13">
        <f>E22</f>
        <v>0.96207277131218349</v>
      </c>
    </row>
    <row r="277" spans="2:11" x14ac:dyDescent="0.25">
      <c r="B277" s="1"/>
      <c r="C277" s="13"/>
      <c r="D277" s="13"/>
      <c r="E277" s="13"/>
    </row>
    <row r="278" spans="2:11" x14ac:dyDescent="0.25">
      <c r="B278" s="1"/>
      <c r="C278" s="13"/>
      <c r="D278" s="13"/>
      <c r="E278" s="13"/>
    </row>
    <row r="280" spans="2:11" x14ac:dyDescent="0.25">
      <c r="B280" s="57" t="s">
        <v>146</v>
      </c>
      <c r="C280" s="57"/>
      <c r="D280" s="57"/>
      <c r="E280" s="57"/>
    </row>
    <row r="281" spans="2:11" x14ac:dyDescent="0.25">
      <c r="B281" t="str">
        <f t="shared" ref="B281:B298" si="65">B232</f>
        <v>+30% Herd size</v>
      </c>
      <c r="C281">
        <f>C$274/C254</f>
        <v>0.55189112662539364</v>
      </c>
      <c r="D281" s="43">
        <f t="shared" ref="D281:E281" si="66">D$274/D254</f>
        <v>0.58104093752581298</v>
      </c>
      <c r="E281">
        <f t="shared" si="66"/>
        <v>0.42266908334515407</v>
      </c>
    </row>
    <row r="282" spans="2:11" x14ac:dyDescent="0.25">
      <c r="B282" t="str">
        <f t="shared" si="65"/>
        <v xml:space="preserve">-30% Herd size </v>
      </c>
      <c r="C282">
        <f t="shared" ref="C282:E282" si="67">C$274/C255</f>
        <v>0.74976893258925204</v>
      </c>
      <c r="D282" s="43">
        <f t="shared" si="67"/>
        <v>0.80845824307717351</v>
      </c>
      <c r="E282">
        <f t="shared" si="67"/>
        <v>0.60227385532535327</v>
      </c>
    </row>
    <row r="283" spans="2:11" x14ac:dyDescent="0.25">
      <c r="B283" t="str">
        <f t="shared" si="65"/>
        <v>+30% Zebu</v>
      </c>
      <c r="C283">
        <f t="shared" ref="C283:E283" si="68">C$274/C256</f>
        <v>0.63578937985553785</v>
      </c>
      <c r="D283">
        <f t="shared" si="68"/>
        <v>0.67613906084375119</v>
      </c>
      <c r="E283">
        <f t="shared" si="68"/>
        <v>0.52841956528621981</v>
      </c>
    </row>
    <row r="284" spans="2:11" x14ac:dyDescent="0.25">
      <c r="B284" t="str">
        <f t="shared" si="65"/>
        <v>-30% Zebu</v>
      </c>
      <c r="C284">
        <f t="shared" ref="C284:E284" si="69">C$274/C257</f>
        <v>0.63578937985553785</v>
      </c>
      <c r="D284">
        <f t="shared" si="69"/>
        <v>0.67613906084375119</v>
      </c>
      <c r="E284">
        <f t="shared" si="69"/>
        <v>0.52841956528621981</v>
      </c>
    </row>
    <row r="285" spans="2:11" x14ac:dyDescent="0.25">
      <c r="B285" t="str">
        <f t="shared" si="65"/>
        <v>+30% Boran</v>
      </c>
      <c r="C285">
        <f t="shared" ref="C285:E285" si="70">C$274/C258</f>
        <v>0.63578937985553785</v>
      </c>
      <c r="D285">
        <f t="shared" si="70"/>
        <v>0.67613906084375119</v>
      </c>
      <c r="E285">
        <f t="shared" si="70"/>
        <v>0.52841956528621981</v>
      </c>
    </row>
    <row r="286" spans="2:11" x14ac:dyDescent="0.25">
      <c r="B286" t="str">
        <f t="shared" si="65"/>
        <v>-30% Boran</v>
      </c>
      <c r="C286">
        <f t="shared" ref="C286:E286" si="71">C$274/C259</f>
        <v>0.63578937985553785</v>
      </c>
      <c r="D286">
        <f t="shared" si="71"/>
        <v>0.67613906084375119</v>
      </c>
      <c r="E286">
        <f t="shared" si="71"/>
        <v>0.52841956528621981</v>
      </c>
    </row>
    <row r="287" spans="2:11" x14ac:dyDescent="0.25">
      <c r="B287" t="str">
        <f t="shared" si="65"/>
        <v>+30% Exotic</v>
      </c>
      <c r="C287">
        <f t="shared" ref="C287:E287" si="72">C$274/C260</f>
        <v>0.63578937985553785</v>
      </c>
      <c r="D287">
        <f t="shared" si="72"/>
        <v>0.67613906084375119</v>
      </c>
      <c r="E287">
        <f t="shared" si="72"/>
        <v>0.52841956528621981</v>
      </c>
    </row>
    <row r="288" spans="2:11" x14ac:dyDescent="0.25">
      <c r="B288" t="str">
        <f t="shared" si="65"/>
        <v>-30% Exotic</v>
      </c>
      <c r="C288">
        <f t="shared" ref="C288:E288" si="73">C$274/C261</f>
        <v>0.63578937985553785</v>
      </c>
      <c r="D288">
        <f t="shared" si="73"/>
        <v>0.67613906084375119</v>
      </c>
      <c r="E288">
        <f t="shared" si="73"/>
        <v>0.52841956528621981</v>
      </c>
    </row>
    <row r="289" spans="2:7" x14ac:dyDescent="0.25">
      <c r="B289" t="str">
        <f t="shared" si="65"/>
        <v>+30% Finisher:Breeder</v>
      </c>
      <c r="C289">
        <f t="shared" ref="C289:E289" si="74">C$274/C262</f>
        <v>0.63578937985553785</v>
      </c>
      <c r="D289">
        <f t="shared" si="74"/>
        <v>0.67613906084375119</v>
      </c>
      <c r="E289">
        <f t="shared" si="74"/>
        <v>0.52841956528621981</v>
      </c>
    </row>
    <row r="290" spans="2:7" x14ac:dyDescent="0.25">
      <c r="B290" t="str">
        <f t="shared" si="65"/>
        <v>-30% Finisher:Breeder</v>
      </c>
      <c r="C290">
        <f t="shared" ref="C290:E290" si="75">C$274/C263</f>
        <v>0.63578937985553785</v>
      </c>
      <c r="D290">
        <f t="shared" si="75"/>
        <v>0.67613906084375119</v>
      </c>
      <c r="E290">
        <f t="shared" si="75"/>
        <v>0.52841956528621981</v>
      </c>
    </row>
    <row r="291" spans="2:7" x14ac:dyDescent="0.25">
      <c r="B291" t="str">
        <f t="shared" si="65"/>
        <v>+30% Pastoral:Agropastoral</v>
      </c>
      <c r="C291">
        <f>C$274/C264</f>
        <v>0.59416474402906827</v>
      </c>
      <c r="D291" s="43">
        <f>D$274/D264</f>
        <v>0.68419877192324552</v>
      </c>
      <c r="E291" s="43">
        <f>E$274/E264</f>
        <v>0.54079329330208314</v>
      </c>
    </row>
    <row r="292" spans="2:7" x14ac:dyDescent="0.25">
      <c r="B292" t="str">
        <f t="shared" si="65"/>
        <v>-30% Pastoral:Agropastoral</v>
      </c>
      <c r="C292">
        <f t="shared" ref="C292:D292" si="76">C$274/C265</f>
        <v>0.68368545292960292</v>
      </c>
      <c r="D292" s="43">
        <f t="shared" si="76"/>
        <v>0.66826702227179502</v>
      </c>
      <c r="E292" s="43">
        <f>E$274/E265</f>
        <v>0.50695256362898355</v>
      </c>
    </row>
    <row r="293" spans="2:7" x14ac:dyDescent="0.25">
      <c r="B293" t="str">
        <f t="shared" si="65"/>
        <v>+30% Mixed:Agropastoral</v>
      </c>
      <c r="C293">
        <f t="shared" ref="C293:E293" si="77">C$274/C266</f>
        <v>0.63578937985553785</v>
      </c>
      <c r="D293">
        <f t="shared" si="77"/>
        <v>0.71289163900213559</v>
      </c>
      <c r="E293">
        <f t="shared" si="77"/>
        <v>0.54272791102166451</v>
      </c>
    </row>
    <row r="294" spans="2:7" x14ac:dyDescent="0.25">
      <c r="B294" t="str">
        <f t="shared" si="65"/>
        <v>-30% Mixed:Agropastoral</v>
      </c>
      <c r="C294">
        <f t="shared" ref="C294:E294" si="78">C$274/C267</f>
        <v>0.63578937985553785</v>
      </c>
      <c r="D294">
        <f t="shared" si="78"/>
        <v>0.64299019754200748</v>
      </c>
      <c r="E294">
        <f t="shared" si="78"/>
        <v>0.51484628393913967</v>
      </c>
    </row>
    <row r="295" spans="2:7" x14ac:dyDescent="0.25">
      <c r="B295" t="str">
        <f t="shared" si="65"/>
        <v>+30% Cowcalf:Finisher</v>
      </c>
      <c r="C295">
        <f t="shared" ref="C295:E295" si="79">C$274/C268</f>
        <v>0.69069848995732686</v>
      </c>
      <c r="D295">
        <f t="shared" si="79"/>
        <v>0.7231920779784945</v>
      </c>
      <c r="E295">
        <f t="shared" si="79"/>
        <v>0.55783313117440136</v>
      </c>
      <c r="F295" s="13"/>
    </row>
    <row r="296" spans="2:7" x14ac:dyDescent="0.25">
      <c r="B296" t="str">
        <f t="shared" si="65"/>
        <v>-30% Cowcalf:Finisher</v>
      </c>
      <c r="C296">
        <f t="shared" ref="C296:E296" si="80">C$274/C269</f>
        <v>0.58896766149152446</v>
      </c>
      <c r="D296">
        <f t="shared" si="80"/>
        <v>0.63483482792205614</v>
      </c>
      <c r="E296">
        <f t="shared" si="80"/>
        <v>0.50195248802908865</v>
      </c>
    </row>
    <row r="297" spans="2:7" x14ac:dyDescent="0.25">
      <c r="B297" t="str">
        <f t="shared" si="65"/>
        <v>+30% Commercial:Subsistence</v>
      </c>
      <c r="C297">
        <f t="shared" ref="C297:E297" si="81">C$274/C270</f>
        <v>0.62830740532693496</v>
      </c>
      <c r="D297">
        <f t="shared" si="81"/>
        <v>0.68922665466100497</v>
      </c>
      <c r="E297">
        <f t="shared" si="81"/>
        <v>0.52528230662347453</v>
      </c>
    </row>
    <row r="298" spans="2:7" x14ac:dyDescent="0.25">
      <c r="B298" t="str">
        <f t="shared" si="65"/>
        <v>-30% Commercial:Subsistence</v>
      </c>
      <c r="C298">
        <f t="shared" ref="C298:E298" si="82">C$274/C271</f>
        <v>0.64345169475059338</v>
      </c>
      <c r="D298">
        <f t="shared" si="82"/>
        <v>0.66353924044785828</v>
      </c>
      <c r="E298">
        <f t="shared" si="82"/>
        <v>0.54028086557342125</v>
      </c>
    </row>
    <row r="299" spans="2:7" x14ac:dyDescent="0.25">
      <c r="G299" t="s">
        <v>148</v>
      </c>
    </row>
    <row r="300" spans="2:7" x14ac:dyDescent="0.25">
      <c r="B300" s="57" t="s">
        <v>152</v>
      </c>
      <c r="C300" s="57"/>
      <c r="D300" s="57"/>
      <c r="E300" s="57"/>
      <c r="G300" s="41" t="s">
        <v>149</v>
      </c>
    </row>
    <row r="301" spans="2:7" x14ac:dyDescent="0.25">
      <c r="B301" s="41" t="str">
        <f>B281</f>
        <v>+30% Herd size</v>
      </c>
      <c r="C301" s="13">
        <f>AVERAGE(C281,C$276)</f>
        <v>0.91413933091407329</v>
      </c>
      <c r="D301" s="13">
        <f t="shared" ref="D301:E301" si="83">AVERAGE(D281,D$276)</f>
        <v>0.93550588173411009</v>
      </c>
      <c r="E301" s="13">
        <f t="shared" si="83"/>
        <v>0.69237092732866878</v>
      </c>
    </row>
    <row r="302" spans="2:7" x14ac:dyDescent="0.25">
      <c r="B302" s="41" t="str">
        <f t="shared" ref="B302:B318" si="84">B282</f>
        <v xml:space="preserve">-30% Herd size </v>
      </c>
      <c r="C302" s="13">
        <f t="shared" ref="C302:E302" si="85">AVERAGE(C282,C$276)</f>
        <v>1.0130782338960025</v>
      </c>
      <c r="D302" s="13">
        <f t="shared" si="85"/>
        <v>1.0492145345097903</v>
      </c>
      <c r="E302" s="13">
        <f t="shared" si="85"/>
        <v>0.78217331331876838</v>
      </c>
    </row>
    <row r="303" spans="2:7" x14ac:dyDescent="0.25">
      <c r="B303" t="str">
        <f t="shared" si="84"/>
        <v>+30% Zebu</v>
      </c>
      <c r="C303" s="13">
        <f t="shared" ref="C303:E303" si="86">AVERAGE(C283,C$276)</f>
        <v>0.9560884575291454</v>
      </c>
      <c r="D303" s="13">
        <f t="shared" si="86"/>
        <v>0.98305494339307919</v>
      </c>
      <c r="E303" s="13">
        <f t="shared" si="86"/>
        <v>0.74524616829920165</v>
      </c>
    </row>
    <row r="304" spans="2:7" x14ac:dyDescent="0.25">
      <c r="B304" t="str">
        <f t="shared" si="84"/>
        <v>-30% Zebu</v>
      </c>
      <c r="C304" s="13">
        <f t="shared" ref="C304:E304" si="87">AVERAGE(C284,C$276)</f>
        <v>0.9560884575291454</v>
      </c>
      <c r="D304" s="13">
        <f t="shared" si="87"/>
        <v>0.98305494339307919</v>
      </c>
      <c r="E304" s="13">
        <f t="shared" si="87"/>
        <v>0.74524616829920165</v>
      </c>
    </row>
    <row r="305" spans="2:5" x14ac:dyDescent="0.25">
      <c r="B305" t="str">
        <f t="shared" si="84"/>
        <v>+30% Boran</v>
      </c>
      <c r="C305" s="13">
        <f t="shared" ref="C305:E305" si="88">AVERAGE(C285,C$276)</f>
        <v>0.9560884575291454</v>
      </c>
      <c r="D305" s="13">
        <f t="shared" si="88"/>
        <v>0.98305494339307919</v>
      </c>
      <c r="E305" s="13">
        <f t="shared" si="88"/>
        <v>0.74524616829920165</v>
      </c>
    </row>
    <row r="306" spans="2:5" x14ac:dyDescent="0.25">
      <c r="B306" t="str">
        <f t="shared" si="84"/>
        <v>-30% Boran</v>
      </c>
      <c r="C306" s="13">
        <f t="shared" ref="C306:E306" si="89">AVERAGE(C286,C$276)</f>
        <v>0.9560884575291454</v>
      </c>
      <c r="D306" s="13">
        <f t="shared" si="89"/>
        <v>0.98305494339307919</v>
      </c>
      <c r="E306" s="13">
        <f t="shared" si="89"/>
        <v>0.74524616829920165</v>
      </c>
    </row>
    <row r="307" spans="2:5" x14ac:dyDescent="0.25">
      <c r="B307" t="str">
        <f t="shared" si="84"/>
        <v>+30% Exotic</v>
      </c>
      <c r="C307" s="13">
        <f t="shared" ref="C307:E307" si="90">AVERAGE(C287,C$276)</f>
        <v>0.9560884575291454</v>
      </c>
      <c r="D307" s="13">
        <f t="shared" si="90"/>
        <v>0.98305494339307919</v>
      </c>
      <c r="E307" s="13">
        <f t="shared" si="90"/>
        <v>0.74524616829920165</v>
      </c>
    </row>
    <row r="308" spans="2:5" x14ac:dyDescent="0.25">
      <c r="B308" t="str">
        <f t="shared" si="84"/>
        <v>-30% Exotic</v>
      </c>
      <c r="C308" s="13">
        <f t="shared" ref="C308:E308" si="91">AVERAGE(C288,C$276)</f>
        <v>0.9560884575291454</v>
      </c>
      <c r="D308" s="13">
        <f t="shared" si="91"/>
        <v>0.98305494339307919</v>
      </c>
      <c r="E308" s="13">
        <f t="shared" si="91"/>
        <v>0.74524616829920165</v>
      </c>
    </row>
    <row r="309" spans="2:5" x14ac:dyDescent="0.25">
      <c r="B309" t="str">
        <f t="shared" si="84"/>
        <v>+30% Finisher:Breeder</v>
      </c>
      <c r="C309" s="13">
        <f t="shared" ref="C309:E309" si="92">AVERAGE(C289,C$276)</f>
        <v>0.9560884575291454</v>
      </c>
      <c r="D309" s="13">
        <f t="shared" si="92"/>
        <v>0.98305494339307919</v>
      </c>
      <c r="E309" s="13">
        <f t="shared" si="92"/>
        <v>0.74524616829920165</v>
      </c>
    </row>
    <row r="310" spans="2:5" x14ac:dyDescent="0.25">
      <c r="B310" t="str">
        <f t="shared" si="84"/>
        <v>-30% Finisher:Breeder</v>
      </c>
      <c r="C310" s="13">
        <f t="shared" ref="C310:E310" si="93">AVERAGE(C290,C$276)</f>
        <v>0.9560884575291454</v>
      </c>
      <c r="D310" s="13">
        <f t="shared" si="93"/>
        <v>0.98305494339307919</v>
      </c>
      <c r="E310" s="13">
        <f t="shared" si="93"/>
        <v>0.74524616829920165</v>
      </c>
    </row>
    <row r="311" spans="2:5" x14ac:dyDescent="0.25">
      <c r="B311" s="41" t="str">
        <f t="shared" si="84"/>
        <v>+30% Pastoral:Agropastoral</v>
      </c>
      <c r="C311" s="13">
        <f t="shared" ref="C311:E312" si="94">AVERAGE(C291,C$276)</f>
        <v>0.93527613961591061</v>
      </c>
      <c r="D311" s="13">
        <f t="shared" si="94"/>
        <v>0.98708479893282641</v>
      </c>
      <c r="E311" s="42">
        <f t="shared" si="94"/>
        <v>0.75143303230713332</v>
      </c>
    </row>
    <row r="312" spans="2:5" x14ac:dyDescent="0.25">
      <c r="B312" s="41" t="str">
        <f t="shared" si="84"/>
        <v>-30% Pastoral:Agropastoral</v>
      </c>
      <c r="C312" s="13">
        <f t="shared" si="94"/>
        <v>0.98003649406617788</v>
      </c>
      <c r="D312" s="13">
        <f t="shared" si="94"/>
        <v>0.97911892410710111</v>
      </c>
      <c r="E312" s="42">
        <f t="shared" si="94"/>
        <v>0.73451266747058352</v>
      </c>
    </row>
    <row r="313" spans="2:5" x14ac:dyDescent="0.25">
      <c r="B313" s="41" t="str">
        <f t="shared" si="84"/>
        <v>+30% Mixed:Agropastoral</v>
      </c>
      <c r="C313" s="13">
        <f t="shared" ref="C313:E313" si="95">AVERAGE(C293,C$276)</f>
        <v>0.9560884575291454</v>
      </c>
      <c r="D313" s="13">
        <f t="shared" si="95"/>
        <v>1.0014312324722714</v>
      </c>
      <c r="E313" s="13">
        <f t="shared" si="95"/>
        <v>0.752400341166924</v>
      </c>
    </row>
    <row r="314" spans="2:5" x14ac:dyDescent="0.25">
      <c r="B314" s="41" t="str">
        <f t="shared" si="84"/>
        <v>-30% Mixed:Agropastoral</v>
      </c>
      <c r="C314" s="13">
        <f t="shared" ref="C314:E314" si="96">AVERAGE(C294,C$276)</f>
        <v>0.9560884575291454</v>
      </c>
      <c r="D314" s="13">
        <f t="shared" si="96"/>
        <v>0.96648051174220728</v>
      </c>
      <c r="E314" s="13">
        <f t="shared" si="96"/>
        <v>0.73845952762566158</v>
      </c>
    </row>
    <row r="315" spans="2:5" x14ac:dyDescent="0.25">
      <c r="B315" s="41" t="str">
        <f t="shared" si="84"/>
        <v>+30% Cowcalf:Finisher</v>
      </c>
      <c r="C315" s="13">
        <f t="shared" ref="C315:E315" si="97">AVERAGE(C295,C$276)</f>
        <v>0.98354301258003995</v>
      </c>
      <c r="D315" s="13">
        <f t="shared" si="97"/>
        <v>1.0065814519604508</v>
      </c>
      <c r="E315" s="13">
        <f t="shared" si="97"/>
        <v>0.75995295124329243</v>
      </c>
    </row>
    <row r="316" spans="2:5" x14ac:dyDescent="0.25">
      <c r="B316" s="41" t="str">
        <f t="shared" si="84"/>
        <v>-30% Cowcalf:Finisher</v>
      </c>
      <c r="C316" s="13">
        <f t="shared" ref="C316:E316" si="98">AVERAGE(C296,C$276)</f>
        <v>0.9326775983471387</v>
      </c>
      <c r="D316" s="13">
        <f t="shared" si="98"/>
        <v>0.96240282693223167</v>
      </c>
      <c r="E316" s="13">
        <f t="shared" si="98"/>
        <v>0.73201262967063607</v>
      </c>
    </row>
    <row r="317" spans="2:5" x14ac:dyDescent="0.25">
      <c r="B317" s="41" t="str">
        <f t="shared" si="84"/>
        <v>+30% Commercial:Subsistence</v>
      </c>
      <c r="C317" s="13">
        <f t="shared" ref="C317:E317" si="99">AVERAGE(C297,C$276)</f>
        <v>0.95234747026484401</v>
      </c>
      <c r="D317" s="13">
        <f t="shared" si="99"/>
        <v>0.98959874030170614</v>
      </c>
      <c r="E317" s="13">
        <f t="shared" si="99"/>
        <v>0.74367753896782895</v>
      </c>
    </row>
    <row r="318" spans="2:5" x14ac:dyDescent="0.25">
      <c r="B318" s="41" t="str">
        <f t="shared" si="84"/>
        <v>-30% Commercial:Subsistence</v>
      </c>
      <c r="C318" s="13">
        <f t="shared" ref="C318:E318" si="100">AVERAGE(C298,C$276)</f>
        <v>0.95991961497667311</v>
      </c>
      <c r="D318" s="13">
        <f t="shared" si="100"/>
        <v>0.97675503319513268</v>
      </c>
      <c r="E318" s="13">
        <f t="shared" si="100"/>
        <v>0.75117681844280237</v>
      </c>
    </row>
  </sheetData>
  <mergeCells count="34">
    <mergeCell ref="B110:E110"/>
    <mergeCell ref="B117:E117"/>
    <mergeCell ref="B147:E147"/>
    <mergeCell ref="B154:E154"/>
    <mergeCell ref="B300:E300"/>
    <mergeCell ref="B224:E224"/>
    <mergeCell ref="B124:E124"/>
    <mergeCell ref="B131:E131"/>
    <mergeCell ref="B140:E140"/>
    <mergeCell ref="H82:I82"/>
    <mergeCell ref="B231:E231"/>
    <mergeCell ref="B280:E280"/>
    <mergeCell ref="B253:E253"/>
    <mergeCell ref="B189:E189"/>
    <mergeCell ref="B196:E196"/>
    <mergeCell ref="B203:E203"/>
    <mergeCell ref="B210:E210"/>
    <mergeCell ref="B217:E217"/>
    <mergeCell ref="B91:E91"/>
    <mergeCell ref="B93:E93"/>
    <mergeCell ref="B102:E102"/>
    <mergeCell ref="B161:E161"/>
    <mergeCell ref="B168:E168"/>
    <mergeCell ref="B175:E175"/>
    <mergeCell ref="B182:E182"/>
    <mergeCell ref="B26:E26"/>
    <mergeCell ref="B56:E56"/>
    <mergeCell ref="B27:E27"/>
    <mergeCell ref="B82:E82"/>
    <mergeCell ref="B64:E64"/>
    <mergeCell ref="B57:E57"/>
    <mergeCell ref="B75:E75"/>
    <mergeCell ref="B49:E49"/>
    <mergeCell ref="B74:E7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01F35-854A-4CF3-AD65-CF85AB43445E}">
  <dimension ref="A1:G49"/>
  <sheetViews>
    <sheetView tabSelected="1" workbookViewId="0">
      <selection activeCell="K5" sqref="K5"/>
    </sheetView>
  </sheetViews>
  <sheetFormatPr defaultRowHeight="15" x14ac:dyDescent="0.25"/>
  <cols>
    <col min="1" max="1" width="47" customWidth="1"/>
    <col min="2" max="2" width="10.28515625" customWidth="1"/>
    <col min="3" max="5" width="10.42578125" customWidth="1"/>
    <col min="6" max="6" width="12.7109375" customWidth="1"/>
  </cols>
  <sheetData>
    <row r="1" spans="1:7" x14ac:dyDescent="0.25">
      <c r="A1" t="s">
        <v>201</v>
      </c>
      <c r="B1" t="s">
        <v>202</v>
      </c>
      <c r="C1" t="s">
        <v>203</v>
      </c>
      <c r="D1" t="s">
        <v>205</v>
      </c>
      <c r="E1" t="s">
        <v>212</v>
      </c>
      <c r="F1" t="s">
        <v>204</v>
      </c>
      <c r="G1" t="s">
        <v>234</v>
      </c>
    </row>
    <row r="2" spans="1:7" x14ac:dyDescent="0.25">
      <c r="A2" t="s">
        <v>153</v>
      </c>
      <c r="B2">
        <v>4.5</v>
      </c>
      <c r="C2" t="s">
        <v>127</v>
      </c>
      <c r="D2" t="s">
        <v>208</v>
      </c>
      <c r="E2" s="13">
        <f>Carrying_Capacity!C69</f>
        <v>0.9560884575291454</v>
      </c>
      <c r="F2" s="47">
        <f>IF(E2&lt;1,1-E2,0)</f>
        <v>4.3911542470854603E-2</v>
      </c>
      <c r="G2" s="35">
        <f>F2</f>
        <v>4.3911542470854603E-2</v>
      </c>
    </row>
    <row r="3" spans="1:7" x14ac:dyDescent="0.25">
      <c r="A3" t="s">
        <v>154</v>
      </c>
      <c r="B3">
        <v>4.5</v>
      </c>
      <c r="C3" t="s">
        <v>127</v>
      </c>
      <c r="D3" t="s">
        <v>206</v>
      </c>
      <c r="E3" s="13">
        <f>Carrying_Capacity!D69</f>
        <v>0.98305494339307919</v>
      </c>
      <c r="F3" s="47">
        <f>IF(E3&lt;1,1-E3,0)</f>
        <v>1.6945056606920805E-2</v>
      </c>
      <c r="G3" s="35">
        <f t="shared" ref="G3:G49" si="0">F3</f>
        <v>1.6945056606920805E-2</v>
      </c>
    </row>
    <row r="4" spans="1:7" x14ac:dyDescent="0.25">
      <c r="A4" t="s">
        <v>155</v>
      </c>
      <c r="B4">
        <v>4.5</v>
      </c>
      <c r="C4" t="s">
        <v>210</v>
      </c>
      <c r="D4" t="s">
        <v>207</v>
      </c>
      <c r="E4" s="13">
        <f>Carrying_Capacity!E69</f>
        <v>0.74524616829920165</v>
      </c>
      <c r="F4" s="47">
        <f t="shared" ref="F4:F49" si="1">IF(E4&lt;1,1-E4,0)</f>
        <v>0.25475383170079835</v>
      </c>
      <c r="G4" s="35">
        <f t="shared" si="0"/>
        <v>0.25475383170079835</v>
      </c>
    </row>
    <row r="5" spans="1:7" x14ac:dyDescent="0.25">
      <c r="A5" t="s">
        <v>156</v>
      </c>
      <c r="B5">
        <v>4.5</v>
      </c>
      <c r="C5" t="s">
        <v>128</v>
      </c>
      <c r="D5" t="s">
        <v>0</v>
      </c>
      <c r="E5" s="13">
        <f>Carrying_Capacity!C70</f>
        <v>0.8929287705296256</v>
      </c>
      <c r="F5" s="47">
        <f t="shared" si="1"/>
        <v>0.1070712294703744</v>
      </c>
      <c r="G5" s="35">
        <f t="shared" si="0"/>
        <v>0.1070712294703744</v>
      </c>
    </row>
    <row r="6" spans="1:7" x14ac:dyDescent="0.25">
      <c r="A6" t="s">
        <v>157</v>
      </c>
      <c r="B6">
        <v>4.5</v>
      </c>
      <c r="C6" t="s">
        <v>211</v>
      </c>
      <c r="D6" t="s">
        <v>206</v>
      </c>
      <c r="E6" s="13">
        <f>Carrying_Capacity!D70</f>
        <v>0.97457406720957507</v>
      </c>
      <c r="F6" s="47">
        <f t="shared" si="1"/>
        <v>2.5425932790424932E-2</v>
      </c>
      <c r="G6" s="35">
        <f t="shared" si="0"/>
        <v>2.5425932790424932E-2</v>
      </c>
    </row>
    <row r="7" spans="1:7" x14ac:dyDescent="0.25">
      <c r="A7" t="s">
        <v>158</v>
      </c>
      <c r="B7">
        <v>4.5</v>
      </c>
      <c r="C7" t="s">
        <v>128</v>
      </c>
      <c r="D7" t="s">
        <v>207</v>
      </c>
      <c r="E7" s="13">
        <f>Carrying_Capacity!E70</f>
        <v>0.7232637318337557</v>
      </c>
      <c r="F7" s="47">
        <f t="shared" si="1"/>
        <v>0.2767362681662443</v>
      </c>
      <c r="G7" s="35">
        <f t="shared" si="0"/>
        <v>0.2767362681662443</v>
      </c>
    </row>
    <row r="8" spans="1:7" x14ac:dyDescent="0.25">
      <c r="A8" t="s">
        <v>159</v>
      </c>
      <c r="B8">
        <v>4.5</v>
      </c>
      <c r="C8" t="s">
        <v>129</v>
      </c>
      <c r="D8" t="s">
        <v>0</v>
      </c>
      <c r="E8" s="13">
        <f>Carrying_Capacity!C71</f>
        <v>0.95474137242084378</v>
      </c>
      <c r="F8" s="47">
        <f t="shared" si="1"/>
        <v>4.5258627579156219E-2</v>
      </c>
      <c r="G8" s="35">
        <f t="shared" si="0"/>
        <v>4.5258627579156219E-2</v>
      </c>
    </row>
    <row r="9" spans="1:7" x14ac:dyDescent="0.25">
      <c r="A9" t="s">
        <v>160</v>
      </c>
      <c r="B9">
        <v>4.5</v>
      </c>
      <c r="C9" t="s">
        <v>129</v>
      </c>
      <c r="D9" t="s">
        <v>206</v>
      </c>
      <c r="E9" s="13">
        <f>Carrying_Capacity!D71</f>
        <v>0.97707210507374609</v>
      </c>
      <c r="F9" s="47">
        <f t="shared" si="1"/>
        <v>2.2927894926253911E-2</v>
      </c>
      <c r="G9" s="35">
        <f t="shared" si="0"/>
        <v>2.2927894926253911E-2</v>
      </c>
    </row>
    <row r="10" spans="1:7" ht="28.5" customHeight="1" x14ac:dyDescent="0.25">
      <c r="A10" t="s">
        <v>161</v>
      </c>
      <c r="B10">
        <v>4.5</v>
      </c>
      <c r="C10" t="s">
        <v>129</v>
      </c>
      <c r="D10" t="s">
        <v>207</v>
      </c>
      <c r="E10" s="13">
        <f>Carrying_Capacity!E71</f>
        <v>0.74438974463386776</v>
      </c>
      <c r="F10" s="47">
        <f t="shared" si="1"/>
        <v>0.25561025536613224</v>
      </c>
      <c r="G10" s="35">
        <f t="shared" si="0"/>
        <v>0.25561025536613224</v>
      </c>
    </row>
    <row r="11" spans="1:7" x14ac:dyDescent="0.25">
      <c r="A11" t="s">
        <v>162</v>
      </c>
      <c r="B11">
        <v>4.5</v>
      </c>
      <c r="C11" s="46" t="s">
        <v>209</v>
      </c>
      <c r="D11" t="s">
        <v>0</v>
      </c>
      <c r="E11" s="13">
        <f>Carrying_Capacity!C301</f>
        <v>0.91413933091407329</v>
      </c>
      <c r="F11" s="47">
        <f t="shared" si="1"/>
        <v>8.5860669085926711E-2</v>
      </c>
      <c r="G11" s="35">
        <f t="shared" si="0"/>
        <v>8.5860669085926711E-2</v>
      </c>
    </row>
    <row r="12" spans="1:7" x14ac:dyDescent="0.25">
      <c r="A12" t="s">
        <v>163</v>
      </c>
      <c r="B12">
        <v>4.5</v>
      </c>
      <c r="C12" s="46" t="s">
        <v>209</v>
      </c>
      <c r="D12" t="s">
        <v>206</v>
      </c>
      <c r="E12" s="13">
        <f>Carrying_Capacity!D301</f>
        <v>0.93550588173411009</v>
      </c>
      <c r="F12" s="47">
        <f t="shared" si="1"/>
        <v>6.449411826588991E-2</v>
      </c>
      <c r="G12" s="35">
        <f t="shared" si="0"/>
        <v>6.449411826588991E-2</v>
      </c>
    </row>
    <row r="13" spans="1:7" x14ac:dyDescent="0.25">
      <c r="A13" t="s">
        <v>164</v>
      </c>
      <c r="B13">
        <v>4.5</v>
      </c>
      <c r="C13" s="46" t="s">
        <v>209</v>
      </c>
      <c r="D13" t="s">
        <v>207</v>
      </c>
      <c r="E13" s="13">
        <f>Carrying_Capacity!E302</f>
        <v>0.78217331331876838</v>
      </c>
      <c r="F13" s="47">
        <f t="shared" si="1"/>
        <v>0.21782668668123162</v>
      </c>
      <c r="G13" s="35">
        <f t="shared" si="0"/>
        <v>0.21782668668123162</v>
      </c>
    </row>
    <row r="14" spans="1:7" x14ac:dyDescent="0.25">
      <c r="A14" t="s">
        <v>165</v>
      </c>
      <c r="B14">
        <v>4.5</v>
      </c>
      <c r="C14" s="46" t="s">
        <v>209</v>
      </c>
      <c r="D14" t="s">
        <v>0</v>
      </c>
      <c r="E14" s="13">
        <f>Carrying_Capacity!C302</f>
        <v>1.0130782338960025</v>
      </c>
      <c r="F14" s="47">
        <f t="shared" si="1"/>
        <v>0</v>
      </c>
      <c r="G14" s="35">
        <f t="shared" si="0"/>
        <v>0</v>
      </c>
    </row>
    <row r="15" spans="1:7" x14ac:dyDescent="0.25">
      <c r="A15" t="s">
        <v>166</v>
      </c>
      <c r="B15">
        <v>4.5</v>
      </c>
      <c r="C15" s="46" t="s">
        <v>209</v>
      </c>
      <c r="D15" t="s">
        <v>206</v>
      </c>
      <c r="E15" s="13">
        <f>Carrying_Capacity!D302</f>
        <v>1.0492145345097903</v>
      </c>
      <c r="F15" s="47">
        <f t="shared" si="1"/>
        <v>0</v>
      </c>
      <c r="G15" s="35">
        <f t="shared" si="0"/>
        <v>0</v>
      </c>
    </row>
    <row r="16" spans="1:7" x14ac:dyDescent="0.25">
      <c r="A16" t="s">
        <v>167</v>
      </c>
      <c r="B16">
        <v>4.5</v>
      </c>
      <c r="C16" s="46" t="s">
        <v>209</v>
      </c>
      <c r="D16" t="s">
        <v>207</v>
      </c>
      <c r="E16" s="13">
        <f>Carrying_Capacity!E302</f>
        <v>0.78217331331876838</v>
      </c>
      <c r="F16" s="47">
        <f t="shared" si="1"/>
        <v>0.21782668668123162</v>
      </c>
      <c r="G16" s="35">
        <f t="shared" si="0"/>
        <v>0.21782668668123162</v>
      </c>
    </row>
    <row r="17" spans="1:7" x14ac:dyDescent="0.25">
      <c r="A17" t="s">
        <v>168</v>
      </c>
      <c r="B17">
        <v>4.5</v>
      </c>
      <c r="D17" t="s">
        <v>0</v>
      </c>
      <c r="E17" s="13">
        <f>Carrying_Capacity!C311</f>
        <v>0.93527613961591061</v>
      </c>
      <c r="F17" s="47">
        <f t="shared" si="1"/>
        <v>6.4723860384089393E-2</v>
      </c>
      <c r="G17" s="35">
        <f t="shared" si="0"/>
        <v>6.4723860384089393E-2</v>
      </c>
    </row>
    <row r="18" spans="1:7" x14ac:dyDescent="0.25">
      <c r="A18" t="s">
        <v>169</v>
      </c>
      <c r="B18">
        <v>4.5</v>
      </c>
      <c r="D18" t="s">
        <v>206</v>
      </c>
      <c r="E18" s="13">
        <f>Carrying_Capacity!D311</f>
        <v>0.98708479893282641</v>
      </c>
      <c r="F18" s="47">
        <f t="shared" si="1"/>
        <v>1.2915201067173587E-2</v>
      </c>
      <c r="G18" s="35">
        <f t="shared" si="0"/>
        <v>1.2915201067173587E-2</v>
      </c>
    </row>
    <row r="19" spans="1:7" x14ac:dyDescent="0.25">
      <c r="A19" t="s">
        <v>170</v>
      </c>
      <c r="B19">
        <v>4.5</v>
      </c>
      <c r="D19" t="s">
        <v>207</v>
      </c>
      <c r="E19" s="13">
        <f>Carrying_Capacity!E311</f>
        <v>0.75143303230713332</v>
      </c>
      <c r="F19" s="47">
        <f t="shared" si="1"/>
        <v>0.24856696769286668</v>
      </c>
      <c r="G19" s="35">
        <f t="shared" si="0"/>
        <v>0.24856696769286668</v>
      </c>
    </row>
    <row r="20" spans="1:7" x14ac:dyDescent="0.25">
      <c r="A20" t="s">
        <v>171</v>
      </c>
      <c r="B20">
        <v>4.5</v>
      </c>
      <c r="D20" t="s">
        <v>0</v>
      </c>
      <c r="E20" s="13">
        <f>Carrying_Capacity!C312</f>
        <v>0.98003649406617788</v>
      </c>
      <c r="F20" s="47">
        <f t="shared" si="1"/>
        <v>1.9963505933822123E-2</v>
      </c>
      <c r="G20" s="35">
        <f t="shared" si="0"/>
        <v>1.9963505933822123E-2</v>
      </c>
    </row>
    <row r="21" spans="1:7" x14ac:dyDescent="0.25">
      <c r="A21" t="s">
        <v>172</v>
      </c>
      <c r="B21">
        <v>4.5</v>
      </c>
      <c r="D21" t="s">
        <v>206</v>
      </c>
      <c r="E21" s="13">
        <f>Carrying_Capacity!D312</f>
        <v>0.97911892410710111</v>
      </c>
      <c r="F21" s="47">
        <f t="shared" si="1"/>
        <v>2.0881075892898893E-2</v>
      </c>
      <c r="G21" s="35">
        <f t="shared" si="0"/>
        <v>2.0881075892898893E-2</v>
      </c>
    </row>
    <row r="22" spans="1:7" x14ac:dyDescent="0.25">
      <c r="A22" t="s">
        <v>173</v>
      </c>
      <c r="B22">
        <v>4.5</v>
      </c>
      <c r="D22" t="s">
        <v>207</v>
      </c>
      <c r="E22" s="13">
        <f>Carrying_Capacity!E312</f>
        <v>0.73451266747058352</v>
      </c>
      <c r="F22" s="47">
        <f t="shared" si="1"/>
        <v>0.26548733252941648</v>
      </c>
      <c r="G22" s="35">
        <f t="shared" si="0"/>
        <v>0.26548733252941648</v>
      </c>
    </row>
    <row r="23" spans="1:7" x14ac:dyDescent="0.25">
      <c r="A23" t="s">
        <v>174</v>
      </c>
      <c r="B23">
        <v>4.5</v>
      </c>
      <c r="D23" t="s">
        <v>0</v>
      </c>
      <c r="E23" s="13">
        <f>Carrying_Capacity!C313</f>
        <v>0.9560884575291454</v>
      </c>
      <c r="F23" s="47">
        <f t="shared" si="1"/>
        <v>4.3911542470854603E-2</v>
      </c>
      <c r="G23" s="35">
        <f t="shared" si="0"/>
        <v>4.3911542470854603E-2</v>
      </c>
    </row>
    <row r="24" spans="1:7" x14ac:dyDescent="0.25">
      <c r="A24" t="s">
        <v>175</v>
      </c>
      <c r="B24">
        <v>4.5</v>
      </c>
      <c r="D24" t="s">
        <v>206</v>
      </c>
      <c r="E24" s="13">
        <f>Carrying_Capacity!D313</f>
        <v>1.0014312324722714</v>
      </c>
      <c r="F24" s="47">
        <f t="shared" si="1"/>
        <v>0</v>
      </c>
      <c r="G24" s="35">
        <f t="shared" si="0"/>
        <v>0</v>
      </c>
    </row>
    <row r="25" spans="1:7" x14ac:dyDescent="0.25">
      <c r="A25" t="s">
        <v>176</v>
      </c>
      <c r="B25">
        <v>4.5</v>
      </c>
      <c r="D25" t="s">
        <v>207</v>
      </c>
      <c r="E25" s="13">
        <f>Carrying_Capacity!E313</f>
        <v>0.752400341166924</v>
      </c>
      <c r="F25" s="47">
        <f t="shared" si="1"/>
        <v>0.247599658833076</v>
      </c>
      <c r="G25" s="35">
        <f t="shared" si="0"/>
        <v>0.247599658833076</v>
      </c>
    </row>
    <row r="26" spans="1:7" x14ac:dyDescent="0.25">
      <c r="A26" t="s">
        <v>177</v>
      </c>
      <c r="B26">
        <v>4.5</v>
      </c>
      <c r="D26" t="s">
        <v>0</v>
      </c>
      <c r="E26" s="13">
        <f>Carrying_Capacity!C314</f>
        <v>0.9560884575291454</v>
      </c>
      <c r="F26" s="47">
        <f t="shared" si="1"/>
        <v>4.3911542470854603E-2</v>
      </c>
      <c r="G26" s="35">
        <f t="shared" si="0"/>
        <v>4.3911542470854603E-2</v>
      </c>
    </row>
    <row r="27" spans="1:7" x14ac:dyDescent="0.25">
      <c r="A27" t="s">
        <v>178</v>
      </c>
      <c r="B27">
        <v>4.5</v>
      </c>
      <c r="D27" t="s">
        <v>206</v>
      </c>
      <c r="E27" s="13">
        <f>Carrying_Capacity!D314</f>
        <v>0.96648051174220728</v>
      </c>
      <c r="F27" s="47">
        <f t="shared" si="1"/>
        <v>3.3519488257792718E-2</v>
      </c>
      <c r="G27" s="35">
        <f t="shared" si="0"/>
        <v>3.3519488257792718E-2</v>
      </c>
    </row>
    <row r="28" spans="1:7" x14ac:dyDescent="0.25">
      <c r="A28" t="s">
        <v>179</v>
      </c>
      <c r="B28">
        <v>4.5</v>
      </c>
      <c r="D28" t="s">
        <v>207</v>
      </c>
      <c r="E28" s="13">
        <f>Carrying_Capacity!E314</f>
        <v>0.73845952762566158</v>
      </c>
      <c r="F28" s="47">
        <f t="shared" si="1"/>
        <v>0.26154047237433842</v>
      </c>
      <c r="G28" s="35">
        <f t="shared" si="0"/>
        <v>0.26154047237433842</v>
      </c>
    </row>
    <row r="29" spans="1:7" x14ac:dyDescent="0.25">
      <c r="A29" t="s">
        <v>180</v>
      </c>
      <c r="B29">
        <v>4.5</v>
      </c>
      <c r="D29" t="s">
        <v>0</v>
      </c>
      <c r="E29" s="13">
        <f>Carrying_Capacity!C315</f>
        <v>0.98354301258003995</v>
      </c>
      <c r="F29" s="47">
        <f t="shared" si="1"/>
        <v>1.6456987419960045E-2</v>
      </c>
      <c r="G29" s="35">
        <f t="shared" si="0"/>
        <v>1.6456987419960045E-2</v>
      </c>
    </row>
    <row r="30" spans="1:7" x14ac:dyDescent="0.25">
      <c r="A30" t="s">
        <v>181</v>
      </c>
      <c r="B30">
        <v>4.5</v>
      </c>
      <c r="D30" t="s">
        <v>206</v>
      </c>
      <c r="E30" s="13">
        <f>Carrying_Capacity!D315</f>
        <v>1.0065814519604508</v>
      </c>
      <c r="F30" s="47">
        <f t="shared" si="1"/>
        <v>0</v>
      </c>
      <c r="G30" s="35">
        <f t="shared" si="0"/>
        <v>0</v>
      </c>
    </row>
    <row r="31" spans="1:7" x14ac:dyDescent="0.25">
      <c r="A31" t="s">
        <v>182</v>
      </c>
      <c r="B31">
        <v>4.5</v>
      </c>
      <c r="D31" t="s">
        <v>207</v>
      </c>
      <c r="E31" s="13">
        <f>Carrying_Capacity!E315</f>
        <v>0.75995295124329243</v>
      </c>
      <c r="F31" s="47">
        <f t="shared" si="1"/>
        <v>0.24004704875670757</v>
      </c>
      <c r="G31" s="35">
        <f t="shared" si="0"/>
        <v>0.24004704875670757</v>
      </c>
    </row>
    <row r="32" spans="1:7" x14ac:dyDescent="0.25">
      <c r="A32" t="s">
        <v>183</v>
      </c>
      <c r="B32">
        <v>4.5</v>
      </c>
      <c r="D32" t="s">
        <v>0</v>
      </c>
      <c r="E32" s="13">
        <f>Carrying_Capacity!C316</f>
        <v>0.9326775983471387</v>
      </c>
      <c r="F32" s="47">
        <f t="shared" si="1"/>
        <v>6.7322401652861297E-2</v>
      </c>
      <c r="G32" s="35">
        <f t="shared" si="0"/>
        <v>6.7322401652861297E-2</v>
      </c>
    </row>
    <row r="33" spans="1:7" x14ac:dyDescent="0.25">
      <c r="A33" t="s">
        <v>184</v>
      </c>
      <c r="B33">
        <v>4.5</v>
      </c>
      <c r="D33" t="s">
        <v>206</v>
      </c>
      <c r="E33" s="13">
        <f>Carrying_Capacity!D316</f>
        <v>0.96240282693223167</v>
      </c>
      <c r="F33" s="47">
        <f t="shared" si="1"/>
        <v>3.759717306776833E-2</v>
      </c>
      <c r="G33" s="35">
        <f t="shared" si="0"/>
        <v>3.759717306776833E-2</v>
      </c>
    </row>
    <row r="34" spans="1:7" x14ac:dyDescent="0.25">
      <c r="A34" t="s">
        <v>185</v>
      </c>
      <c r="B34">
        <v>4.5</v>
      </c>
      <c r="D34" t="s">
        <v>207</v>
      </c>
      <c r="E34" s="13">
        <f>Carrying_Capacity!E316</f>
        <v>0.73201262967063607</v>
      </c>
      <c r="F34" s="47">
        <f t="shared" si="1"/>
        <v>0.26798737032936393</v>
      </c>
      <c r="G34" s="35">
        <f t="shared" si="0"/>
        <v>0.26798737032936393</v>
      </c>
    </row>
    <row r="35" spans="1:7" x14ac:dyDescent="0.25">
      <c r="A35" t="s">
        <v>186</v>
      </c>
      <c r="B35">
        <v>4.5</v>
      </c>
      <c r="D35" t="s">
        <v>0</v>
      </c>
      <c r="E35" s="13">
        <f>Carrying_Capacity!C317</f>
        <v>0.95234747026484401</v>
      </c>
      <c r="F35" s="47">
        <f t="shared" si="1"/>
        <v>4.7652529735155991E-2</v>
      </c>
      <c r="G35" s="35">
        <f t="shared" si="0"/>
        <v>4.7652529735155991E-2</v>
      </c>
    </row>
    <row r="36" spans="1:7" x14ac:dyDescent="0.25">
      <c r="A36" t="s">
        <v>187</v>
      </c>
      <c r="B36">
        <v>4.5</v>
      </c>
      <c r="D36" t="s">
        <v>206</v>
      </c>
      <c r="E36" s="13">
        <f>Carrying_Capacity!D317</f>
        <v>0.98959874030170614</v>
      </c>
      <c r="F36" s="47">
        <f t="shared" si="1"/>
        <v>1.0401259698293863E-2</v>
      </c>
      <c r="G36" s="35">
        <f t="shared" si="0"/>
        <v>1.0401259698293863E-2</v>
      </c>
    </row>
    <row r="37" spans="1:7" x14ac:dyDescent="0.25">
      <c r="A37" t="s">
        <v>188</v>
      </c>
      <c r="B37">
        <v>4.5</v>
      </c>
      <c r="D37" t="s">
        <v>207</v>
      </c>
      <c r="E37" s="13">
        <f>Carrying_Capacity!E317</f>
        <v>0.74367753896782895</v>
      </c>
      <c r="F37" s="47">
        <f t="shared" si="1"/>
        <v>0.25632246103217105</v>
      </c>
      <c r="G37" s="35">
        <f t="shared" si="0"/>
        <v>0.25632246103217105</v>
      </c>
    </row>
    <row r="38" spans="1:7" x14ac:dyDescent="0.25">
      <c r="A38" t="s">
        <v>189</v>
      </c>
      <c r="B38">
        <v>4.5</v>
      </c>
      <c r="D38" t="s">
        <v>0</v>
      </c>
      <c r="E38" s="13">
        <f>Carrying_Capacity!C317</f>
        <v>0.95234747026484401</v>
      </c>
      <c r="F38" s="47">
        <f t="shared" si="1"/>
        <v>4.7652529735155991E-2</v>
      </c>
      <c r="G38" s="35">
        <f t="shared" si="0"/>
        <v>4.7652529735155991E-2</v>
      </c>
    </row>
    <row r="39" spans="1:7" x14ac:dyDescent="0.25">
      <c r="A39" t="s">
        <v>190</v>
      </c>
      <c r="B39">
        <v>4.5</v>
      </c>
      <c r="D39" t="s">
        <v>206</v>
      </c>
      <c r="E39" s="13">
        <f>Carrying_Capacity!D317</f>
        <v>0.98959874030170614</v>
      </c>
      <c r="F39" s="47">
        <f t="shared" si="1"/>
        <v>1.0401259698293863E-2</v>
      </c>
      <c r="G39" s="35">
        <f t="shared" si="0"/>
        <v>1.0401259698293863E-2</v>
      </c>
    </row>
    <row r="40" spans="1:7" x14ac:dyDescent="0.25">
      <c r="A40" t="s">
        <v>191</v>
      </c>
      <c r="B40">
        <v>4.5</v>
      </c>
      <c r="D40" t="s">
        <v>207</v>
      </c>
      <c r="E40" s="13">
        <f>Carrying_Capacity!E317</f>
        <v>0.74367753896782895</v>
      </c>
      <c r="F40" s="47">
        <f t="shared" si="1"/>
        <v>0.25632246103217105</v>
      </c>
      <c r="G40" s="35">
        <f t="shared" si="0"/>
        <v>0.25632246103217105</v>
      </c>
    </row>
    <row r="41" spans="1:7" x14ac:dyDescent="0.25">
      <c r="A41" t="s">
        <v>192</v>
      </c>
      <c r="B41">
        <v>8.5</v>
      </c>
      <c r="D41" t="s">
        <v>0</v>
      </c>
      <c r="E41" s="13">
        <f>Carrying_Capacity!C87</f>
        <v>0.97648219687070359</v>
      </c>
      <c r="F41" s="47">
        <f t="shared" si="1"/>
        <v>2.3517803129296411E-2</v>
      </c>
      <c r="G41" s="35">
        <f t="shared" si="0"/>
        <v>2.3517803129296411E-2</v>
      </c>
    </row>
    <row r="42" spans="1:7" x14ac:dyDescent="0.25">
      <c r="A42" t="s">
        <v>193</v>
      </c>
      <c r="B42">
        <v>8.5</v>
      </c>
      <c r="D42" t="s">
        <v>206</v>
      </c>
      <c r="E42" s="13">
        <f>Carrying_Capacity!D87</f>
        <v>0.9882826667765916</v>
      </c>
      <c r="F42" s="47">
        <f t="shared" si="1"/>
        <v>1.1717333223408399E-2</v>
      </c>
      <c r="G42" s="35">
        <f t="shared" si="0"/>
        <v>1.1717333223408399E-2</v>
      </c>
    </row>
    <row r="43" spans="1:7" x14ac:dyDescent="0.25">
      <c r="A43" t="s">
        <v>194</v>
      </c>
      <c r="B43">
        <v>8.5</v>
      </c>
      <c r="D43" t="s">
        <v>207</v>
      </c>
      <c r="E43" s="13">
        <f>Carrying_Capacity!E87</f>
        <v>0.747055199435537</v>
      </c>
      <c r="F43" s="47">
        <f t="shared" si="1"/>
        <v>0.252944800564463</v>
      </c>
      <c r="G43" s="35">
        <f t="shared" si="0"/>
        <v>0.252944800564463</v>
      </c>
    </row>
    <row r="44" spans="1:7" x14ac:dyDescent="0.25">
      <c r="A44" t="s">
        <v>195</v>
      </c>
      <c r="B44">
        <v>8.5</v>
      </c>
      <c r="D44" t="s">
        <v>0</v>
      </c>
      <c r="E44" s="13">
        <f>Carrying_Capacity!C88</f>
        <v>0.90927065800207807</v>
      </c>
      <c r="F44" s="47">
        <f t="shared" si="1"/>
        <v>9.0729341997921931E-2</v>
      </c>
      <c r="G44" s="35">
        <f t="shared" si="0"/>
        <v>9.0729341997921931E-2</v>
      </c>
    </row>
    <row r="45" spans="1:7" x14ac:dyDescent="0.25">
      <c r="A45" t="s">
        <v>196</v>
      </c>
      <c r="B45">
        <v>8.5</v>
      </c>
      <c r="D45" t="s">
        <v>206</v>
      </c>
      <c r="E45" s="13">
        <f>Carrying_Capacity!D88</f>
        <v>0.97967064693550365</v>
      </c>
      <c r="F45" s="47">
        <f t="shared" si="1"/>
        <v>2.0329353064496347E-2</v>
      </c>
      <c r="G45" s="35">
        <f t="shared" si="0"/>
        <v>2.0329353064496347E-2</v>
      </c>
    </row>
    <row r="46" spans="1:7" x14ac:dyDescent="0.25">
      <c r="A46" t="s">
        <v>197</v>
      </c>
      <c r="B46">
        <v>8.5</v>
      </c>
      <c r="D46" t="s">
        <v>207</v>
      </c>
      <c r="E46" s="13">
        <f>Carrying_Capacity!E88</f>
        <v>0.72492225032964042</v>
      </c>
      <c r="F46" s="47">
        <f t="shared" si="1"/>
        <v>0.27507774967035958</v>
      </c>
      <c r="G46" s="35">
        <f t="shared" si="0"/>
        <v>0.27507774967035958</v>
      </c>
    </row>
    <row r="47" spans="1:7" x14ac:dyDescent="0.25">
      <c r="A47" t="s">
        <v>198</v>
      </c>
      <c r="B47">
        <v>8.5</v>
      </c>
      <c r="D47" t="s">
        <v>0</v>
      </c>
      <c r="E47" s="13">
        <f>Carrying_Capacity!C89</f>
        <v>0.97504869288394924</v>
      </c>
      <c r="F47" s="47">
        <f t="shared" si="1"/>
        <v>2.4951307116050758E-2</v>
      </c>
      <c r="G47" s="35">
        <f t="shared" si="0"/>
        <v>2.4951307116050758E-2</v>
      </c>
    </row>
    <row r="48" spans="1:7" x14ac:dyDescent="0.25">
      <c r="A48" t="s">
        <v>199</v>
      </c>
      <c r="B48">
        <v>8.5</v>
      </c>
      <c r="D48" t="s">
        <v>206</v>
      </c>
      <c r="E48" s="13">
        <f>Carrying_Capacity!D89</f>
        <v>0.98220731309882703</v>
      </c>
      <c r="F48" s="47">
        <f t="shared" si="1"/>
        <v>1.7792686901172972E-2</v>
      </c>
      <c r="G48" s="35">
        <f t="shared" si="0"/>
        <v>1.7792686901172972E-2</v>
      </c>
    </row>
    <row r="49" spans="1:7" x14ac:dyDescent="0.25">
      <c r="A49" t="s">
        <v>200</v>
      </c>
      <c r="B49">
        <v>8.5</v>
      </c>
      <c r="D49" t="s">
        <v>207</v>
      </c>
      <c r="E49" s="13">
        <f>Carrying_Capacity!E89</f>
        <v>0.74619291188030101</v>
      </c>
      <c r="F49" s="47">
        <f t="shared" si="1"/>
        <v>0.25380708811969899</v>
      </c>
      <c r="G49" s="35">
        <f t="shared" si="0"/>
        <v>0.25380708811969899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D4EB7-C836-4DCC-ABF5-09A401451DC6}">
  <dimension ref="A1:T67"/>
  <sheetViews>
    <sheetView workbookViewId="0">
      <selection activeCell="S13" sqref="S13:S15"/>
    </sheetView>
  </sheetViews>
  <sheetFormatPr defaultRowHeight="15" x14ac:dyDescent="0.25"/>
  <cols>
    <col min="15" max="15" width="13.7109375" bestFit="1" customWidth="1"/>
    <col min="16" max="16" width="11.5703125" bestFit="1" customWidth="1"/>
  </cols>
  <sheetData>
    <row r="1" spans="1:20" x14ac:dyDescent="0.25">
      <c r="A1" t="s">
        <v>93</v>
      </c>
      <c r="B1" t="s">
        <v>94</v>
      </c>
      <c r="C1" t="s">
        <v>95</v>
      </c>
      <c r="D1" t="s">
        <v>96</v>
      </c>
      <c r="E1" t="s">
        <v>97</v>
      </c>
      <c r="F1" t="s">
        <v>113</v>
      </c>
    </row>
    <row r="2" spans="1:20" x14ac:dyDescent="0.25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31">
        <f>Herd_decision_tree!B11</f>
        <v>3.7635434639855019</v>
      </c>
    </row>
    <row r="3" spans="1:20" x14ac:dyDescent="0.25">
      <c r="A3" t="s">
        <v>98</v>
      </c>
      <c r="B3" t="s">
        <v>99</v>
      </c>
      <c r="C3" t="s">
        <v>100</v>
      </c>
      <c r="D3" t="s">
        <v>103</v>
      </c>
      <c r="E3" t="s">
        <v>102</v>
      </c>
      <c r="F3">
        <f>F2</f>
        <v>3.7635434639855019</v>
      </c>
    </row>
    <row r="4" spans="1:20" x14ac:dyDescent="0.25">
      <c r="A4" t="s">
        <v>98</v>
      </c>
      <c r="B4" t="s">
        <v>99</v>
      </c>
      <c r="C4" t="s">
        <v>100</v>
      </c>
      <c r="D4" t="s">
        <v>104</v>
      </c>
      <c r="E4" t="s">
        <v>102</v>
      </c>
      <c r="F4">
        <f>F3</f>
        <v>3.7635434639855019</v>
      </c>
    </row>
    <row r="5" spans="1:20" x14ac:dyDescent="0.25">
      <c r="A5" t="s">
        <v>98</v>
      </c>
      <c r="B5" t="s">
        <v>99</v>
      </c>
      <c r="C5" t="s">
        <v>105</v>
      </c>
      <c r="D5" t="str">
        <f>D2</f>
        <v>male.finisher</v>
      </c>
      <c r="E5" t="s">
        <v>102</v>
      </c>
      <c r="F5" s="31">
        <f>Herd_decision_tree!C11</f>
        <v>3.7054917347022234</v>
      </c>
      <c r="M5" s="1" t="s">
        <v>235</v>
      </c>
      <c r="N5" s="1"/>
    </row>
    <row r="6" spans="1:20" x14ac:dyDescent="0.25">
      <c r="A6" t="s">
        <v>98</v>
      </c>
      <c r="B6" t="s">
        <v>99</v>
      </c>
      <c r="C6" t="s">
        <v>105</v>
      </c>
      <c r="D6" t="str">
        <f t="shared" ref="D6:D67" si="0">D3</f>
        <v>female.finisher</v>
      </c>
      <c r="E6" t="s">
        <v>102</v>
      </c>
      <c r="F6">
        <f>F5</f>
        <v>3.7054917347022234</v>
      </c>
      <c r="O6" s="3" t="s">
        <v>236</v>
      </c>
      <c r="P6" s="3" t="s">
        <v>137</v>
      </c>
    </row>
    <row r="7" spans="1:20" x14ac:dyDescent="0.25">
      <c r="A7" t="s">
        <v>98</v>
      </c>
      <c r="B7" t="s">
        <v>99</v>
      </c>
      <c r="C7" t="s">
        <v>105</v>
      </c>
      <c r="D7" t="str">
        <f t="shared" si="0"/>
        <v>female.breeder</v>
      </c>
      <c r="E7" t="s">
        <v>102</v>
      </c>
      <c r="F7">
        <f>F6</f>
        <v>3.7054917347022234</v>
      </c>
      <c r="M7" t="s">
        <v>0</v>
      </c>
      <c r="N7" t="s">
        <v>237</v>
      </c>
      <c r="O7" s="48">
        <f>1-Carrying_Capacity!C70</f>
        <v>0.1070712294703744</v>
      </c>
      <c r="P7" s="48">
        <f>1-Carrying_Capacity!C88</f>
        <v>9.0729341997921931E-2</v>
      </c>
      <c r="R7" s="51">
        <f>O7*100</f>
        <v>10.70712294703744</v>
      </c>
      <c r="S7" s="51">
        <f>P7*100</f>
        <v>9.0729341997921935</v>
      </c>
    </row>
    <row r="8" spans="1:20" x14ac:dyDescent="0.25">
      <c r="A8" t="s">
        <v>106</v>
      </c>
      <c r="B8" t="s">
        <v>99</v>
      </c>
      <c r="C8" t="s">
        <v>100</v>
      </c>
      <c r="D8" t="str">
        <f t="shared" si="0"/>
        <v>male.finisher</v>
      </c>
      <c r="E8" t="s">
        <v>102</v>
      </c>
      <c r="F8" s="31">
        <f>Herd_decision_tree!B12</f>
        <v>0.53470169817244906</v>
      </c>
      <c r="M8" t="s">
        <v>0</v>
      </c>
      <c r="N8" t="s">
        <v>231</v>
      </c>
      <c r="O8" s="48">
        <f>1-Carrying_Capacity!C69</f>
        <v>4.3911542470854603E-2</v>
      </c>
      <c r="P8" s="48">
        <f>1-Carrying_Capacity!C87</f>
        <v>2.3517803129296411E-2</v>
      </c>
      <c r="R8" s="51">
        <f t="shared" ref="R8:S15" si="1">O8*100</f>
        <v>4.3911542470854599</v>
      </c>
      <c r="S8" s="51">
        <f t="shared" si="1"/>
        <v>2.3517803129296411</v>
      </c>
    </row>
    <row r="9" spans="1:20" x14ac:dyDescent="0.25">
      <c r="A9" t="s">
        <v>106</v>
      </c>
      <c r="B9" t="s">
        <v>99</v>
      </c>
      <c r="C9" t="s">
        <v>100</v>
      </c>
      <c r="D9" t="str">
        <f t="shared" si="0"/>
        <v>female.finisher</v>
      </c>
      <c r="E9" t="s">
        <v>102</v>
      </c>
      <c r="F9">
        <f>F8</f>
        <v>0.53470169817244906</v>
      </c>
      <c r="M9" t="s">
        <v>0</v>
      </c>
      <c r="N9" t="s">
        <v>233</v>
      </c>
      <c r="O9" s="48">
        <f>1-Carrying_Capacity!C71</f>
        <v>4.5258627579156219E-2</v>
      </c>
      <c r="P9" s="48">
        <f>1-Carrying_Capacity!C89</f>
        <v>2.4951307116050758E-2</v>
      </c>
      <c r="R9" s="51">
        <f t="shared" si="1"/>
        <v>4.5258627579156219</v>
      </c>
      <c r="S9" s="51">
        <f t="shared" si="1"/>
        <v>2.4951307116050758</v>
      </c>
    </row>
    <row r="10" spans="1:20" x14ac:dyDescent="0.25">
      <c r="A10" t="s">
        <v>106</v>
      </c>
      <c r="B10" t="s">
        <v>99</v>
      </c>
      <c r="C10" t="s">
        <v>100</v>
      </c>
      <c r="D10" t="str">
        <f t="shared" si="0"/>
        <v>female.breeder</v>
      </c>
      <c r="E10" t="s">
        <v>102</v>
      </c>
      <c r="F10">
        <f>F9</f>
        <v>0.53470169817244906</v>
      </c>
      <c r="M10" t="s">
        <v>58</v>
      </c>
      <c r="N10" t="str">
        <f>N7</f>
        <v>Worst case</v>
      </c>
      <c r="O10" s="48">
        <f>1-Carrying_Capacity!D70</f>
        <v>2.5425932790424932E-2</v>
      </c>
      <c r="P10" s="48">
        <f>1-Carrying_Capacity!D88</f>
        <v>2.0329353064496347E-2</v>
      </c>
      <c r="R10" s="51">
        <f t="shared" si="1"/>
        <v>2.5425932790424932</v>
      </c>
      <c r="S10" s="51">
        <f t="shared" si="1"/>
        <v>2.0329353064496347</v>
      </c>
      <c r="T10" s="13"/>
    </row>
    <row r="11" spans="1:20" x14ac:dyDescent="0.25">
      <c r="A11" t="s">
        <v>106</v>
      </c>
      <c r="B11" t="s">
        <v>99</v>
      </c>
      <c r="C11" t="s">
        <v>105</v>
      </c>
      <c r="D11" t="str">
        <f t="shared" si="0"/>
        <v>male.finisher</v>
      </c>
      <c r="E11" t="s">
        <v>102</v>
      </c>
      <c r="F11" s="31">
        <f>Herd_decision_tree!C12</f>
        <v>0.52645405641498011</v>
      </c>
      <c r="M11" t="s">
        <v>58</v>
      </c>
      <c r="N11" t="str">
        <f t="shared" ref="N11:N15" si="2">N8</f>
        <v>Baseline</v>
      </c>
      <c r="O11" s="48">
        <f>1-Carrying_Capacity!D69</f>
        <v>1.6945056606920805E-2</v>
      </c>
      <c r="P11" s="48">
        <f>1-Carrying_Capacity!D87</f>
        <v>1.1717333223408399E-2</v>
      </c>
      <c r="R11" s="51">
        <f t="shared" si="1"/>
        <v>1.6945056606920805</v>
      </c>
      <c r="S11" s="51">
        <f t="shared" si="1"/>
        <v>1.1717333223408399</v>
      </c>
      <c r="T11" s="13"/>
    </row>
    <row r="12" spans="1:20" x14ac:dyDescent="0.25">
      <c r="A12" t="s">
        <v>106</v>
      </c>
      <c r="B12" t="s">
        <v>99</v>
      </c>
      <c r="C12" t="s">
        <v>105</v>
      </c>
      <c r="D12" t="str">
        <f t="shared" si="0"/>
        <v>female.finisher</v>
      </c>
      <c r="E12" t="s">
        <v>102</v>
      </c>
      <c r="F12">
        <f>F11</f>
        <v>0.52645405641498011</v>
      </c>
      <c r="M12" t="s">
        <v>58</v>
      </c>
      <c r="N12" t="str">
        <f t="shared" si="2"/>
        <v>Best-case</v>
      </c>
      <c r="O12" s="48">
        <f>1-Carrying_Capacity!D71</f>
        <v>2.2927894926253911E-2</v>
      </c>
      <c r="P12" s="48">
        <f>1-Carrying_Capacity!D89</f>
        <v>1.7792686901172972E-2</v>
      </c>
      <c r="R12" s="51">
        <f t="shared" si="1"/>
        <v>2.2927894926253911</v>
      </c>
      <c r="S12" s="51">
        <f t="shared" si="1"/>
        <v>1.7792686901172972</v>
      </c>
      <c r="T12" s="13"/>
    </row>
    <row r="13" spans="1:20" x14ac:dyDescent="0.25">
      <c r="A13" t="s">
        <v>106</v>
      </c>
      <c r="B13" t="s">
        <v>99</v>
      </c>
      <c r="C13" t="s">
        <v>105</v>
      </c>
      <c r="D13" t="str">
        <f t="shared" si="0"/>
        <v>female.breeder</v>
      </c>
      <c r="E13" t="s">
        <v>102</v>
      </c>
      <c r="F13">
        <f>F12</f>
        <v>0.52645405641498011</v>
      </c>
      <c r="M13" t="s">
        <v>2</v>
      </c>
      <c r="N13" t="str">
        <f t="shared" si="2"/>
        <v>Worst case</v>
      </c>
      <c r="O13" s="48">
        <f>1-Carrying_Capacity!E70</f>
        <v>0.2767362681662443</v>
      </c>
      <c r="P13" s="48">
        <f>1-Carrying_Capacity!E88</f>
        <v>0.27507774967035958</v>
      </c>
      <c r="R13" s="51">
        <f t="shared" si="1"/>
        <v>27.673626816624431</v>
      </c>
      <c r="S13" s="51">
        <f t="shared" si="1"/>
        <v>27.507774967035957</v>
      </c>
      <c r="T13" s="13"/>
    </row>
    <row r="14" spans="1:20" x14ac:dyDescent="0.25">
      <c r="A14" t="s">
        <v>98</v>
      </c>
      <c r="B14" t="s">
        <v>107</v>
      </c>
      <c r="C14" t="s">
        <v>105</v>
      </c>
      <c r="D14" t="str">
        <f t="shared" si="0"/>
        <v>male.finisher</v>
      </c>
      <c r="E14" t="s">
        <v>102</v>
      </c>
      <c r="F14" s="31">
        <f>Herd_decision_tree!C15</f>
        <v>2.7942999657982757</v>
      </c>
      <c r="M14" t="s">
        <v>2</v>
      </c>
      <c r="N14" t="str">
        <f t="shared" si="2"/>
        <v>Baseline</v>
      </c>
      <c r="O14" s="48">
        <f>1-Carrying_Capacity!E69</f>
        <v>0.25475383170079835</v>
      </c>
      <c r="P14" s="48">
        <f>1-Carrying_Capacity!E87</f>
        <v>0.252944800564463</v>
      </c>
      <c r="R14" s="51">
        <f t="shared" si="1"/>
        <v>25.475383170079834</v>
      </c>
      <c r="S14" s="51">
        <f t="shared" si="1"/>
        <v>25.2944800564463</v>
      </c>
      <c r="T14" s="13"/>
    </row>
    <row r="15" spans="1:20" x14ac:dyDescent="0.25">
      <c r="A15" t="s">
        <v>98</v>
      </c>
      <c r="B15" t="s">
        <v>107</v>
      </c>
      <c r="C15" t="s">
        <v>105</v>
      </c>
      <c r="D15" t="str">
        <f t="shared" si="0"/>
        <v>female.finisher</v>
      </c>
      <c r="E15" t="s">
        <v>102</v>
      </c>
      <c r="F15">
        <f>F14</f>
        <v>2.7942999657982757</v>
      </c>
      <c r="M15" t="s">
        <v>2</v>
      </c>
      <c r="N15" t="str">
        <f t="shared" si="2"/>
        <v>Best-case</v>
      </c>
      <c r="O15" s="48">
        <f>1-Carrying_Capacity!E71</f>
        <v>0.25561025536613224</v>
      </c>
      <c r="P15" s="48">
        <f>1-Carrying_Capacity!E89</f>
        <v>0.25380708811969899</v>
      </c>
      <c r="R15" s="51">
        <f t="shared" si="1"/>
        <v>25.561025536613226</v>
      </c>
      <c r="S15" s="51">
        <f t="shared" si="1"/>
        <v>25.3807088119699</v>
      </c>
      <c r="T15" s="13"/>
    </row>
    <row r="16" spans="1:20" x14ac:dyDescent="0.25">
      <c r="A16" t="s">
        <v>98</v>
      </c>
      <c r="B16" t="s">
        <v>107</v>
      </c>
      <c r="C16" t="s">
        <v>105</v>
      </c>
      <c r="D16" t="str">
        <f t="shared" si="0"/>
        <v>female.breeder</v>
      </c>
      <c r="E16" t="s">
        <v>102</v>
      </c>
      <c r="F16">
        <f>F15</f>
        <v>2.7942999657982757</v>
      </c>
      <c r="S16" s="35"/>
      <c r="T16" s="13"/>
    </row>
    <row r="17" spans="1:20" x14ac:dyDescent="0.25">
      <c r="A17" t="s">
        <v>98</v>
      </c>
      <c r="B17" t="s">
        <v>107</v>
      </c>
      <c r="C17" t="s">
        <v>108</v>
      </c>
      <c r="D17" t="str">
        <f t="shared" si="0"/>
        <v>male.finisher</v>
      </c>
      <c r="E17" t="s">
        <v>102</v>
      </c>
      <c r="F17" s="31">
        <f>Herd_decision_tree!D15</f>
        <v>2.3404055129394248</v>
      </c>
      <c r="S17" s="35"/>
      <c r="T17" s="13"/>
    </row>
    <row r="18" spans="1:20" x14ac:dyDescent="0.25">
      <c r="A18" t="s">
        <v>98</v>
      </c>
      <c r="B18" t="s">
        <v>107</v>
      </c>
      <c r="C18" t="s">
        <v>108</v>
      </c>
      <c r="D18" t="str">
        <f t="shared" si="0"/>
        <v>female.finisher</v>
      </c>
      <c r="E18" t="s">
        <v>102</v>
      </c>
      <c r="F18">
        <f>F17</f>
        <v>2.3404055129394248</v>
      </c>
      <c r="S18" s="35"/>
      <c r="T18" s="13"/>
    </row>
    <row r="19" spans="1:20" x14ac:dyDescent="0.25">
      <c r="A19" t="s">
        <v>98</v>
      </c>
      <c r="B19" t="s">
        <v>107</v>
      </c>
      <c r="C19" t="s">
        <v>108</v>
      </c>
      <c r="D19" t="str">
        <f t="shared" si="0"/>
        <v>female.breeder</v>
      </c>
      <c r="E19" t="s">
        <v>102</v>
      </c>
      <c r="F19">
        <f>F18</f>
        <v>2.3404055129394248</v>
      </c>
    </row>
    <row r="20" spans="1:20" x14ac:dyDescent="0.25">
      <c r="A20" t="s">
        <v>106</v>
      </c>
      <c r="B20" t="s">
        <v>107</v>
      </c>
      <c r="C20" t="s">
        <v>105</v>
      </c>
      <c r="D20" t="str">
        <f t="shared" si="0"/>
        <v>male.finisher</v>
      </c>
      <c r="E20" t="s">
        <v>102</v>
      </c>
      <c r="F20" s="31">
        <f>Herd_decision_tree!C16</f>
        <v>0.21032365333965519</v>
      </c>
    </row>
    <row r="21" spans="1:20" x14ac:dyDescent="0.25">
      <c r="A21" t="s">
        <v>106</v>
      </c>
      <c r="B21" t="s">
        <v>107</v>
      </c>
      <c r="C21" t="s">
        <v>105</v>
      </c>
      <c r="D21" t="str">
        <f t="shared" si="0"/>
        <v>female.finisher</v>
      </c>
      <c r="E21" t="s">
        <v>102</v>
      </c>
      <c r="F21">
        <f>F20</f>
        <v>0.21032365333965519</v>
      </c>
    </row>
    <row r="22" spans="1:20" x14ac:dyDescent="0.25">
      <c r="A22" t="s">
        <v>106</v>
      </c>
      <c r="B22" t="s">
        <v>107</v>
      </c>
      <c r="C22" t="s">
        <v>105</v>
      </c>
      <c r="D22" t="str">
        <f t="shared" si="0"/>
        <v>female.breeder</v>
      </c>
      <c r="E22" t="s">
        <v>102</v>
      </c>
      <c r="F22">
        <f>F21</f>
        <v>0.21032365333965519</v>
      </c>
    </row>
    <row r="23" spans="1:20" x14ac:dyDescent="0.25">
      <c r="A23" t="s">
        <v>106</v>
      </c>
      <c r="B23" t="s">
        <v>107</v>
      </c>
      <c r="C23" t="s">
        <v>108</v>
      </c>
      <c r="D23" t="str">
        <f t="shared" si="0"/>
        <v>male.finisher</v>
      </c>
      <c r="E23" t="s">
        <v>102</v>
      </c>
      <c r="F23" s="31">
        <f>Herd_decision_tree!D16</f>
        <v>0.17615955473737607</v>
      </c>
    </row>
    <row r="24" spans="1:20" x14ac:dyDescent="0.25">
      <c r="A24" t="s">
        <v>106</v>
      </c>
      <c r="B24" t="s">
        <v>107</v>
      </c>
      <c r="C24" t="s">
        <v>108</v>
      </c>
      <c r="D24" t="str">
        <f t="shared" si="0"/>
        <v>female.finisher</v>
      </c>
      <c r="E24" t="s">
        <v>102</v>
      </c>
      <c r="F24">
        <f>F23</f>
        <v>0.17615955473737607</v>
      </c>
    </row>
    <row r="25" spans="1:20" x14ac:dyDescent="0.25">
      <c r="A25" t="s">
        <v>106</v>
      </c>
      <c r="B25" t="s">
        <v>107</v>
      </c>
      <c r="C25" t="s">
        <v>108</v>
      </c>
      <c r="D25" t="str">
        <f t="shared" si="0"/>
        <v>female.breeder</v>
      </c>
      <c r="E25" t="s">
        <v>102</v>
      </c>
      <c r="F25">
        <f>F24</f>
        <v>0.17615955473737607</v>
      </c>
    </row>
    <row r="26" spans="1:20" x14ac:dyDescent="0.25">
      <c r="A26" t="s">
        <v>98</v>
      </c>
      <c r="B26" t="s">
        <v>109</v>
      </c>
      <c r="C26" t="s">
        <v>108</v>
      </c>
      <c r="D26" t="str">
        <f t="shared" si="0"/>
        <v>male.finisher</v>
      </c>
      <c r="E26" t="s">
        <v>102</v>
      </c>
      <c r="F26" s="31">
        <f>Herd_decision_tree!D19</f>
        <v>0.87379115225568027</v>
      </c>
    </row>
    <row r="27" spans="1:20" x14ac:dyDescent="0.25">
      <c r="A27" t="s">
        <v>98</v>
      </c>
      <c r="B27" t="s">
        <v>109</v>
      </c>
      <c r="C27" t="s">
        <v>108</v>
      </c>
      <c r="D27" t="str">
        <f t="shared" si="0"/>
        <v>female.finisher</v>
      </c>
      <c r="E27" t="s">
        <v>102</v>
      </c>
      <c r="F27">
        <f>F26</f>
        <v>0.87379115225568027</v>
      </c>
    </row>
    <row r="28" spans="1:20" x14ac:dyDescent="0.25">
      <c r="A28" t="s">
        <v>98</v>
      </c>
      <c r="B28" t="s">
        <v>109</v>
      </c>
      <c r="C28" t="s">
        <v>108</v>
      </c>
      <c r="D28" t="str">
        <f t="shared" si="0"/>
        <v>female.breeder</v>
      </c>
      <c r="E28" t="s">
        <v>102</v>
      </c>
      <c r="F28">
        <f>F27</f>
        <v>0.87379115225568027</v>
      </c>
    </row>
    <row r="29" spans="1:20" x14ac:dyDescent="0.25">
      <c r="A29" t="s">
        <v>106</v>
      </c>
      <c r="B29" t="s">
        <v>109</v>
      </c>
      <c r="C29" t="s">
        <v>108</v>
      </c>
      <c r="D29" t="str">
        <f t="shared" si="0"/>
        <v>male.finisher</v>
      </c>
      <c r="E29" t="s">
        <v>102</v>
      </c>
      <c r="F29" s="31">
        <f>Herd_decision_tree!D20</f>
        <v>7.5981839326580897E-2</v>
      </c>
    </row>
    <row r="30" spans="1:20" x14ac:dyDescent="0.25">
      <c r="A30" t="s">
        <v>106</v>
      </c>
      <c r="B30" t="s">
        <v>109</v>
      </c>
      <c r="C30" t="s">
        <v>108</v>
      </c>
      <c r="D30" t="str">
        <f t="shared" si="0"/>
        <v>female.finisher</v>
      </c>
      <c r="E30" t="s">
        <v>102</v>
      </c>
      <c r="F30">
        <f>F29</f>
        <v>7.5981839326580897E-2</v>
      </c>
    </row>
    <row r="31" spans="1:20" x14ac:dyDescent="0.25">
      <c r="A31" t="s">
        <v>106</v>
      </c>
      <c r="B31" t="s">
        <v>109</v>
      </c>
      <c r="C31" t="s">
        <v>108</v>
      </c>
      <c r="D31" t="str">
        <f t="shared" si="0"/>
        <v>female.breeder</v>
      </c>
      <c r="E31" t="s">
        <v>102</v>
      </c>
      <c r="F31">
        <f>F30</f>
        <v>7.5981839326580897E-2</v>
      </c>
    </row>
    <row r="32" spans="1:20" x14ac:dyDescent="0.25">
      <c r="A32" t="s">
        <v>106</v>
      </c>
      <c r="B32" t="s">
        <v>110</v>
      </c>
      <c r="C32" t="s">
        <v>100</v>
      </c>
      <c r="D32" t="str">
        <f t="shared" si="0"/>
        <v>male.finisher</v>
      </c>
      <c r="E32" t="s">
        <v>102</v>
      </c>
      <c r="F32" s="31">
        <f>Herd_decision_tree!B30</f>
        <v>4.3747985031344916E-2</v>
      </c>
    </row>
    <row r="33" spans="1:6" x14ac:dyDescent="0.25">
      <c r="A33" t="s">
        <v>106</v>
      </c>
      <c r="B33" t="s">
        <v>110</v>
      </c>
      <c r="C33" t="s">
        <v>100</v>
      </c>
      <c r="D33" t="str">
        <f t="shared" si="0"/>
        <v>female.finisher</v>
      </c>
      <c r="E33" t="s">
        <v>102</v>
      </c>
      <c r="F33">
        <f>F32</f>
        <v>4.3747985031344916E-2</v>
      </c>
    </row>
    <row r="34" spans="1:6" x14ac:dyDescent="0.25">
      <c r="A34" t="s">
        <v>106</v>
      </c>
      <c r="B34" t="s">
        <v>110</v>
      </c>
      <c r="C34" t="s">
        <v>100</v>
      </c>
      <c r="D34" t="str">
        <f t="shared" si="0"/>
        <v>female.breeder</v>
      </c>
      <c r="E34" t="s">
        <v>102</v>
      </c>
      <c r="F34">
        <f>F33</f>
        <v>4.3747985031344916E-2</v>
      </c>
    </row>
    <row r="35" spans="1:6" x14ac:dyDescent="0.25">
      <c r="A35" t="s">
        <v>106</v>
      </c>
      <c r="B35" t="s">
        <v>110</v>
      </c>
      <c r="C35" t="s">
        <v>105</v>
      </c>
      <c r="D35" t="str">
        <f t="shared" si="0"/>
        <v>male.finisher</v>
      </c>
      <c r="E35" t="s">
        <v>102</v>
      </c>
      <c r="F35" s="31">
        <f>Herd_decision_tree!C30</f>
        <v>0.20218971798848084</v>
      </c>
    </row>
    <row r="36" spans="1:6" x14ac:dyDescent="0.25">
      <c r="A36" t="s">
        <v>106</v>
      </c>
      <c r="B36" t="s">
        <v>110</v>
      </c>
      <c r="C36" t="s">
        <v>105</v>
      </c>
      <c r="D36" t="str">
        <f t="shared" si="0"/>
        <v>female.finisher</v>
      </c>
      <c r="E36" t="s">
        <v>102</v>
      </c>
      <c r="F36">
        <f>F35</f>
        <v>0.20218971798848084</v>
      </c>
    </row>
    <row r="37" spans="1:6" x14ac:dyDescent="0.25">
      <c r="A37" t="s">
        <v>106</v>
      </c>
      <c r="B37" t="s">
        <v>110</v>
      </c>
      <c r="C37" t="s">
        <v>105</v>
      </c>
      <c r="D37" t="str">
        <f t="shared" si="0"/>
        <v>female.breeder</v>
      </c>
      <c r="E37" t="s">
        <v>102</v>
      </c>
      <c r="F37">
        <f>F36</f>
        <v>0.20218971798848084</v>
      </c>
    </row>
    <row r="38" spans="1:6" x14ac:dyDescent="0.25">
      <c r="A38" t="s">
        <v>106</v>
      </c>
      <c r="B38" t="s">
        <v>110</v>
      </c>
      <c r="C38" t="s">
        <v>108</v>
      </c>
      <c r="D38" t="str">
        <f t="shared" si="0"/>
        <v>male.finisher</v>
      </c>
      <c r="E38" t="s">
        <v>102</v>
      </c>
      <c r="F38" s="31">
        <f>Herd_decision_tree!D30</f>
        <v>0.32783648478393373</v>
      </c>
    </row>
    <row r="39" spans="1:6" x14ac:dyDescent="0.25">
      <c r="A39" t="s">
        <v>106</v>
      </c>
      <c r="B39" t="s">
        <v>110</v>
      </c>
      <c r="C39" t="s">
        <v>108</v>
      </c>
      <c r="D39" t="str">
        <f t="shared" si="0"/>
        <v>female.finisher</v>
      </c>
      <c r="E39" t="s">
        <v>102</v>
      </c>
      <c r="F39">
        <f>F38</f>
        <v>0.32783648478393373</v>
      </c>
    </row>
    <row r="40" spans="1:6" x14ac:dyDescent="0.25">
      <c r="A40" t="s">
        <v>106</v>
      </c>
      <c r="B40" t="s">
        <v>110</v>
      </c>
      <c r="C40" t="s">
        <v>108</v>
      </c>
      <c r="D40" t="str">
        <f t="shared" si="0"/>
        <v>female.breeder</v>
      </c>
      <c r="E40" t="s">
        <v>102</v>
      </c>
      <c r="F40">
        <f>F39</f>
        <v>0.32783648478393373</v>
      </c>
    </row>
    <row r="41" spans="1:6" x14ac:dyDescent="0.25">
      <c r="A41" t="s">
        <v>111</v>
      </c>
      <c r="B41" t="s">
        <v>110</v>
      </c>
      <c r="C41" t="s">
        <v>100</v>
      </c>
      <c r="D41" t="str">
        <f t="shared" si="0"/>
        <v>male.finisher</v>
      </c>
      <c r="E41" t="s">
        <v>102</v>
      </c>
      <c r="F41" s="31">
        <f>Herd_decision_tree!B31</f>
        <v>2.0587287073574073E-2</v>
      </c>
    </row>
    <row r="42" spans="1:6" x14ac:dyDescent="0.25">
      <c r="A42" t="s">
        <v>111</v>
      </c>
      <c r="B42" t="s">
        <v>110</v>
      </c>
      <c r="C42" t="s">
        <v>100</v>
      </c>
      <c r="D42" t="str">
        <f t="shared" si="0"/>
        <v>female.finisher</v>
      </c>
      <c r="E42" t="s">
        <v>102</v>
      </c>
      <c r="F42">
        <f>F41</f>
        <v>2.0587287073574073E-2</v>
      </c>
    </row>
    <row r="43" spans="1:6" x14ac:dyDescent="0.25">
      <c r="A43" t="s">
        <v>111</v>
      </c>
      <c r="B43" t="s">
        <v>110</v>
      </c>
      <c r="C43" t="s">
        <v>100</v>
      </c>
      <c r="D43" t="str">
        <f t="shared" si="0"/>
        <v>female.breeder</v>
      </c>
      <c r="E43" t="s">
        <v>102</v>
      </c>
      <c r="F43">
        <f>F42</f>
        <v>2.0587287073574073E-2</v>
      </c>
    </row>
    <row r="44" spans="1:6" x14ac:dyDescent="0.25">
      <c r="A44" t="s">
        <v>111</v>
      </c>
      <c r="B44" t="s">
        <v>110</v>
      </c>
      <c r="C44" t="s">
        <v>105</v>
      </c>
      <c r="D44" t="str">
        <f t="shared" si="0"/>
        <v>male.finisher</v>
      </c>
      <c r="E44" t="s">
        <v>102</v>
      </c>
      <c r="F44" s="31">
        <f>Herd_decision_tree!C31</f>
        <v>9.5148102582814489E-2</v>
      </c>
    </row>
    <row r="45" spans="1:6" x14ac:dyDescent="0.25">
      <c r="A45" t="s">
        <v>111</v>
      </c>
      <c r="B45" t="s">
        <v>110</v>
      </c>
      <c r="C45" t="s">
        <v>105</v>
      </c>
      <c r="D45" t="str">
        <f t="shared" si="0"/>
        <v>female.finisher</v>
      </c>
      <c r="E45" t="s">
        <v>102</v>
      </c>
      <c r="F45">
        <f>F44</f>
        <v>9.5148102582814489E-2</v>
      </c>
    </row>
    <row r="46" spans="1:6" x14ac:dyDescent="0.25">
      <c r="A46" t="s">
        <v>111</v>
      </c>
      <c r="B46" t="s">
        <v>110</v>
      </c>
      <c r="C46" t="s">
        <v>105</v>
      </c>
      <c r="D46" t="str">
        <f t="shared" si="0"/>
        <v>female.breeder</v>
      </c>
      <c r="E46" t="s">
        <v>102</v>
      </c>
      <c r="F46">
        <f>F45</f>
        <v>9.5148102582814489E-2</v>
      </c>
    </row>
    <row r="47" spans="1:6" x14ac:dyDescent="0.25">
      <c r="A47" t="s">
        <v>111</v>
      </c>
      <c r="B47" t="s">
        <v>110</v>
      </c>
      <c r="C47" t="s">
        <v>108</v>
      </c>
      <c r="D47" t="str">
        <f t="shared" si="0"/>
        <v>male.finisher</v>
      </c>
      <c r="E47" t="s">
        <v>102</v>
      </c>
      <c r="F47" s="31">
        <f>Herd_decision_tree!D31</f>
        <v>0.15427599283949819</v>
      </c>
    </row>
    <row r="48" spans="1:6" x14ac:dyDescent="0.25">
      <c r="A48" t="s">
        <v>111</v>
      </c>
      <c r="B48" t="s">
        <v>110</v>
      </c>
      <c r="C48" t="s">
        <v>108</v>
      </c>
      <c r="D48" t="str">
        <f t="shared" si="0"/>
        <v>female.finisher</v>
      </c>
      <c r="E48" t="s">
        <v>102</v>
      </c>
      <c r="F48">
        <f>F47</f>
        <v>0.15427599283949819</v>
      </c>
    </row>
    <row r="49" spans="1:6" x14ac:dyDescent="0.25">
      <c r="A49" t="s">
        <v>111</v>
      </c>
      <c r="B49" t="s">
        <v>110</v>
      </c>
      <c r="C49" t="s">
        <v>108</v>
      </c>
      <c r="D49" t="str">
        <f t="shared" si="0"/>
        <v>female.breeder</v>
      </c>
      <c r="E49" t="s">
        <v>102</v>
      </c>
      <c r="F49">
        <f>F48</f>
        <v>0.15427599283949819</v>
      </c>
    </row>
    <row r="50" spans="1:6" x14ac:dyDescent="0.25">
      <c r="A50" t="s">
        <v>106</v>
      </c>
      <c r="B50" t="s">
        <v>112</v>
      </c>
      <c r="C50" t="s">
        <v>100</v>
      </c>
      <c r="D50" t="str">
        <f t="shared" si="0"/>
        <v>male.finisher</v>
      </c>
      <c r="E50" t="s">
        <v>102</v>
      </c>
      <c r="F50" s="31">
        <f>Herd_decision_tree!B26</f>
        <v>0.13941579201395757</v>
      </c>
    </row>
    <row r="51" spans="1:6" x14ac:dyDescent="0.25">
      <c r="A51" t="s">
        <v>106</v>
      </c>
      <c r="B51" t="s">
        <v>112</v>
      </c>
      <c r="C51" t="s">
        <v>100</v>
      </c>
      <c r="D51" t="str">
        <f t="shared" si="0"/>
        <v>female.finisher</v>
      </c>
      <c r="E51" t="s">
        <v>102</v>
      </c>
      <c r="F51">
        <f>F50</f>
        <v>0.13941579201395757</v>
      </c>
    </row>
    <row r="52" spans="1:6" x14ac:dyDescent="0.25">
      <c r="A52" t="s">
        <v>106</v>
      </c>
      <c r="B52" t="s">
        <v>112</v>
      </c>
      <c r="C52" t="s">
        <v>100</v>
      </c>
      <c r="D52" t="str">
        <f t="shared" si="0"/>
        <v>female.breeder</v>
      </c>
      <c r="E52" t="s">
        <v>102</v>
      </c>
      <c r="F52">
        <f>F51</f>
        <v>0.13941579201395757</v>
      </c>
    </row>
    <row r="53" spans="1:6" x14ac:dyDescent="0.25">
      <c r="A53" t="s">
        <v>106</v>
      </c>
      <c r="B53" t="s">
        <v>112</v>
      </c>
      <c r="C53" t="s">
        <v>105</v>
      </c>
      <c r="D53" t="str">
        <f t="shared" si="0"/>
        <v>male.finisher</v>
      </c>
      <c r="E53" t="s">
        <v>102</v>
      </c>
      <c r="F53" s="31">
        <f>Herd_decision_tree!C26</f>
        <v>0.18581035450121144</v>
      </c>
    </row>
    <row r="54" spans="1:6" x14ac:dyDescent="0.25">
      <c r="A54" t="s">
        <v>106</v>
      </c>
      <c r="B54" t="s">
        <v>112</v>
      </c>
      <c r="C54" t="s">
        <v>105</v>
      </c>
      <c r="D54" t="str">
        <f t="shared" si="0"/>
        <v>female.finisher</v>
      </c>
      <c r="E54" t="s">
        <v>102</v>
      </c>
      <c r="F54">
        <f>F53</f>
        <v>0.18581035450121144</v>
      </c>
    </row>
    <row r="55" spans="1:6" x14ac:dyDescent="0.25">
      <c r="A55" t="s">
        <v>106</v>
      </c>
      <c r="B55" t="s">
        <v>112</v>
      </c>
      <c r="C55" t="s">
        <v>105</v>
      </c>
      <c r="D55" t="str">
        <f t="shared" si="0"/>
        <v>female.breeder</v>
      </c>
      <c r="E55" t="s">
        <v>102</v>
      </c>
      <c r="F55">
        <f>F54</f>
        <v>0.18581035450121144</v>
      </c>
    </row>
    <row r="56" spans="1:6" x14ac:dyDescent="0.25">
      <c r="A56" t="s">
        <v>106</v>
      </c>
      <c r="B56" t="s">
        <v>112</v>
      </c>
      <c r="C56" t="s">
        <v>108</v>
      </c>
      <c r="D56" t="str">
        <f t="shared" si="0"/>
        <v>male.finisher</v>
      </c>
      <c r="E56" t="s">
        <v>102</v>
      </c>
      <c r="F56" s="31">
        <f>Herd_decision_tree!D26</f>
        <v>0.16137642239357275</v>
      </c>
    </row>
    <row r="57" spans="1:6" x14ac:dyDescent="0.25">
      <c r="A57" t="s">
        <v>106</v>
      </c>
      <c r="B57" t="s">
        <v>112</v>
      </c>
      <c r="C57" t="s">
        <v>108</v>
      </c>
      <c r="D57" t="str">
        <f t="shared" si="0"/>
        <v>female.finisher</v>
      </c>
      <c r="E57" t="s">
        <v>102</v>
      </c>
      <c r="F57">
        <f>F56</f>
        <v>0.16137642239357275</v>
      </c>
    </row>
    <row r="58" spans="1:6" x14ac:dyDescent="0.25">
      <c r="A58" t="s">
        <v>106</v>
      </c>
      <c r="B58" t="s">
        <v>112</v>
      </c>
      <c r="C58" t="s">
        <v>108</v>
      </c>
      <c r="D58" t="str">
        <f t="shared" si="0"/>
        <v>female.breeder</v>
      </c>
      <c r="E58" t="s">
        <v>102</v>
      </c>
      <c r="F58">
        <f>F57</f>
        <v>0.16137642239357275</v>
      </c>
    </row>
    <row r="59" spans="1:6" x14ac:dyDescent="0.25">
      <c r="A59" t="s">
        <v>111</v>
      </c>
      <c r="B59" t="s">
        <v>112</v>
      </c>
      <c r="C59" t="s">
        <v>100</v>
      </c>
      <c r="D59" t="str">
        <f t="shared" si="0"/>
        <v>male.finisher</v>
      </c>
      <c r="E59" t="s">
        <v>102</v>
      </c>
      <c r="F59" s="31">
        <f>Herd_decision_tree!B27</f>
        <v>6.5607431535980018E-2</v>
      </c>
    </row>
    <row r="60" spans="1:6" x14ac:dyDescent="0.25">
      <c r="A60" t="s">
        <v>111</v>
      </c>
      <c r="B60" t="s">
        <v>112</v>
      </c>
      <c r="C60" t="s">
        <v>100</v>
      </c>
      <c r="D60" t="str">
        <f t="shared" si="0"/>
        <v>female.finisher</v>
      </c>
      <c r="E60" t="s">
        <v>102</v>
      </c>
      <c r="F60">
        <f>F59</f>
        <v>6.5607431535980018E-2</v>
      </c>
    </row>
    <row r="61" spans="1:6" x14ac:dyDescent="0.25">
      <c r="A61" t="s">
        <v>111</v>
      </c>
      <c r="B61" t="s">
        <v>112</v>
      </c>
      <c r="C61" t="s">
        <v>100</v>
      </c>
      <c r="D61" t="str">
        <f t="shared" si="0"/>
        <v>female.breeder</v>
      </c>
      <c r="E61" t="s">
        <v>102</v>
      </c>
      <c r="F61">
        <f>F60</f>
        <v>6.5607431535980018E-2</v>
      </c>
    </row>
    <row r="62" spans="1:6" x14ac:dyDescent="0.25">
      <c r="A62" t="s">
        <v>111</v>
      </c>
      <c r="B62" t="s">
        <v>112</v>
      </c>
      <c r="C62" t="s">
        <v>105</v>
      </c>
      <c r="D62" t="str">
        <f t="shared" si="0"/>
        <v>male.finisher</v>
      </c>
      <c r="E62" t="s">
        <v>102</v>
      </c>
      <c r="F62" s="31">
        <f>Herd_decision_tree!C27</f>
        <v>8.7440166824099483E-2</v>
      </c>
    </row>
    <row r="63" spans="1:6" x14ac:dyDescent="0.25">
      <c r="A63" t="s">
        <v>111</v>
      </c>
      <c r="B63" t="s">
        <v>112</v>
      </c>
      <c r="C63" t="s">
        <v>105</v>
      </c>
      <c r="D63" t="str">
        <f t="shared" si="0"/>
        <v>female.finisher</v>
      </c>
      <c r="E63" t="s">
        <v>102</v>
      </c>
      <c r="F63">
        <f>F62</f>
        <v>8.7440166824099483E-2</v>
      </c>
    </row>
    <row r="64" spans="1:6" x14ac:dyDescent="0.25">
      <c r="A64" t="s">
        <v>111</v>
      </c>
      <c r="B64" t="s">
        <v>112</v>
      </c>
      <c r="C64" t="s">
        <v>105</v>
      </c>
      <c r="D64" t="str">
        <f t="shared" si="0"/>
        <v>female.breeder</v>
      </c>
      <c r="E64" t="s">
        <v>102</v>
      </c>
      <c r="F64">
        <f>F63</f>
        <v>8.7440166824099483E-2</v>
      </c>
    </row>
    <row r="65" spans="1:6" x14ac:dyDescent="0.25">
      <c r="A65" t="s">
        <v>111</v>
      </c>
      <c r="B65" t="s">
        <v>112</v>
      </c>
      <c r="C65" t="s">
        <v>108</v>
      </c>
      <c r="D65" t="str">
        <f t="shared" si="0"/>
        <v>male.finisher</v>
      </c>
      <c r="E65" t="s">
        <v>102</v>
      </c>
      <c r="F65" s="31">
        <f>Herd_decision_tree!D27</f>
        <v>7.5941845832269511E-2</v>
      </c>
    </row>
    <row r="66" spans="1:6" x14ac:dyDescent="0.25">
      <c r="A66" t="s">
        <v>111</v>
      </c>
      <c r="B66" t="s">
        <v>112</v>
      </c>
      <c r="C66" t="s">
        <v>108</v>
      </c>
      <c r="D66" t="str">
        <f t="shared" si="0"/>
        <v>female.finisher</v>
      </c>
      <c r="E66" t="s">
        <v>102</v>
      </c>
      <c r="F66">
        <f>F65</f>
        <v>7.5941845832269511E-2</v>
      </c>
    </row>
    <row r="67" spans="1:6" x14ac:dyDescent="0.25">
      <c r="A67" t="s">
        <v>111</v>
      </c>
      <c r="B67" t="s">
        <v>112</v>
      </c>
      <c r="C67" t="s">
        <v>108</v>
      </c>
      <c r="D67" t="str">
        <f t="shared" si="0"/>
        <v>female.breeder</v>
      </c>
      <c r="E67" t="s">
        <v>102</v>
      </c>
      <c r="F67">
        <f>F66</f>
        <v>7.5941845832269511E-2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Validate_2020</vt:lpstr>
      <vt:lpstr>Herd_decision_tree</vt:lpstr>
      <vt:lpstr>Projections</vt:lpstr>
      <vt:lpstr>ZS_Summary</vt:lpstr>
      <vt:lpstr>NPP</vt:lpstr>
      <vt:lpstr>Carrying_Capacity</vt:lpstr>
      <vt:lpstr>CC_to_Rumen8.io</vt:lpstr>
      <vt:lpstr>Beef_population_to_GIS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James Hawkins</cp:lastModifiedBy>
  <dcterms:created xsi:type="dcterms:W3CDTF">2026-06-13T04:30:46Z</dcterms:created>
  <dcterms:modified xsi:type="dcterms:W3CDTF">2026-08-15T04:46:10Z</dcterms:modified>
</cp:coreProperties>
</file>