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wkj\Documents\Github\KE.beef.spatial\Rasterized animal populations\Zonal statistics\"/>
    </mc:Choice>
  </mc:AlternateContent>
  <xr:revisionPtr revIDLastSave="0" documentId="13_ncr:1_{CFB6A4D7-13E3-455A-88D8-15EA86AAEF33}" xr6:coauthVersionLast="47" xr6:coauthVersionMax="47" xr10:uidLastSave="{00000000-0000-0000-0000-000000000000}"/>
  <bookViews>
    <workbookView xWindow="-96" yWindow="-96" windowWidth="20928" windowHeight="12432" activeTab="2" xr2:uid="{3882C52B-09A6-47D1-94BA-1F6173569800}"/>
  </bookViews>
  <sheets>
    <sheet name="Herd_decision_tree" sheetId="1" r:id="rId1"/>
    <sheet name="Validate_2020" sheetId="2" r:id="rId2"/>
    <sheet name="Projection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3" l="1"/>
  <c r="E4" i="3"/>
  <c r="E5" i="3"/>
  <c r="E6" i="3"/>
  <c r="E2" i="3"/>
  <c r="D2" i="3"/>
  <c r="D3" i="3"/>
  <c r="D4" i="3"/>
  <c r="D5" i="3"/>
  <c r="D6" i="3"/>
  <c r="B3" i="3"/>
  <c r="B4" i="3"/>
  <c r="B5" i="3"/>
  <c r="B6" i="3"/>
  <c r="B2" i="3"/>
  <c r="B23" i="1"/>
  <c r="C12" i="1"/>
  <c r="C8" i="1"/>
  <c r="B12" i="1"/>
  <c r="B8" i="1"/>
  <c r="D16" i="1"/>
  <c r="E16" i="1" s="1"/>
  <c r="B4" i="2" s="1"/>
  <c r="D12" i="1"/>
  <c r="B3" i="1"/>
  <c r="E3" i="1" s="1"/>
  <c r="B2" i="1"/>
  <c r="E2" i="1" s="1"/>
  <c r="C3" i="1"/>
  <c r="C2" i="1"/>
  <c r="D2" i="1"/>
  <c r="D4" i="1" s="1"/>
  <c r="B13" i="1" l="1"/>
  <c r="B14" i="1"/>
  <c r="D23" i="1"/>
  <c r="D27" i="1" s="1"/>
  <c r="C4" i="1"/>
  <c r="D14" i="1"/>
  <c r="D13" i="1"/>
  <c r="D18" i="1"/>
  <c r="E18" i="1" s="1"/>
  <c r="D17" i="1"/>
  <c r="E17" i="1" s="1"/>
  <c r="B4" i="1"/>
  <c r="E12" i="1"/>
  <c r="B3" i="2" s="1"/>
  <c r="E8" i="1"/>
  <c r="B2" i="2" s="1"/>
  <c r="D35" i="1" l="1"/>
  <c r="D28" i="1"/>
  <c r="D29" i="1"/>
  <c r="D24" i="1"/>
  <c r="D36" i="1" s="1"/>
  <c r="D25" i="1"/>
  <c r="D37" i="1" s="1"/>
  <c r="C23" i="1"/>
  <c r="C27" i="1" s="1"/>
  <c r="E4" i="1"/>
  <c r="C14" i="1"/>
  <c r="E14" i="1" s="1"/>
  <c r="C13" i="1"/>
  <c r="C10" i="1"/>
  <c r="C9" i="1"/>
  <c r="D21" i="1"/>
  <c r="B9" i="1"/>
  <c r="B10" i="1"/>
  <c r="B27" i="1" l="1"/>
  <c r="E27" i="1" s="1"/>
  <c r="B5" i="2" s="1"/>
  <c r="E23" i="1"/>
  <c r="B6" i="2" s="1"/>
  <c r="C35" i="1"/>
  <c r="E13" i="1"/>
  <c r="B35" i="1"/>
  <c r="D31" i="1"/>
  <c r="D38" i="1"/>
  <c r="C29" i="1"/>
  <c r="C28" i="1"/>
  <c r="C24" i="1"/>
  <c r="C25" i="1"/>
  <c r="B28" i="1"/>
  <c r="E28" i="1" s="1"/>
  <c r="B29" i="1"/>
  <c r="E29" i="1" s="1"/>
  <c r="B25" i="1"/>
  <c r="B24" i="1"/>
  <c r="E9" i="1"/>
  <c r="E10" i="1"/>
  <c r="C21" i="1"/>
  <c r="B21" i="1"/>
  <c r="B7" i="2" l="1"/>
  <c r="B37" i="1"/>
  <c r="E25" i="1"/>
  <c r="B36" i="1"/>
  <c r="E24" i="1"/>
  <c r="E35" i="1"/>
  <c r="C37" i="1"/>
  <c r="E37" i="1" s="1"/>
  <c r="B31" i="1"/>
  <c r="B38" i="1"/>
  <c r="C31" i="1"/>
  <c r="C36" i="1"/>
  <c r="E21" i="1"/>
  <c r="C5" i="2" l="1"/>
  <c r="E5" i="2" s="1"/>
  <c r="C6" i="2"/>
  <c r="E6" i="2" s="1"/>
  <c r="C3" i="2"/>
  <c r="E3" i="2" s="1"/>
  <c r="C2" i="2"/>
  <c r="E2" i="2" s="1"/>
  <c r="C4" i="2"/>
  <c r="E4" i="2" s="1"/>
  <c r="E31" i="1"/>
  <c r="C38" i="1"/>
  <c r="E38" i="1" s="1"/>
  <c r="E36" i="1"/>
  <c r="E7" i="2" l="1"/>
  <c r="F36" i="1"/>
  <c r="H36" i="1" s="1"/>
  <c r="F37" i="1"/>
  <c r="H37" i="1" s="1"/>
  <c r="F35" i="1"/>
  <c r="H35" i="1" s="1"/>
  <c r="H38" i="1" l="1"/>
</calcChain>
</file>

<file path=xl/sharedStrings.xml><?xml version="1.0" encoding="utf-8"?>
<sst xmlns="http://schemas.openxmlformats.org/spreadsheetml/2006/main" count="68" uniqueCount="55">
  <si>
    <t>Comm</t>
  </si>
  <si>
    <t>Subs</t>
  </si>
  <si>
    <t>Arid</t>
  </si>
  <si>
    <t>Sarid</t>
  </si>
  <si>
    <t>Humid</t>
  </si>
  <si>
    <t>Total</t>
  </si>
  <si>
    <t>Parameters</t>
  </si>
  <si>
    <t>Frac finisher to total animal population</t>
  </si>
  <si>
    <t>Frac boran to total herd</t>
  </si>
  <si>
    <t>Commercial</t>
  </si>
  <si>
    <t>Subsistence</t>
  </si>
  <si>
    <t>Pastoral -- frac boran to total herd</t>
  </si>
  <si>
    <t>Agpastoral -- frac boran to total herd</t>
  </si>
  <si>
    <t>Mixed</t>
  </si>
  <si>
    <t>Mixed -- Frac boran to total herd</t>
  </si>
  <si>
    <t>Pastoral</t>
  </si>
  <si>
    <t>Pastoral - Zebu</t>
  </si>
  <si>
    <t>Pastoral - Boran</t>
  </si>
  <si>
    <t>Agropastoral</t>
  </si>
  <si>
    <t>Agropastoral - Zebu</t>
  </si>
  <si>
    <t>Agropastoral - Boran</t>
  </si>
  <si>
    <t>Mixed - Zebu</t>
  </si>
  <si>
    <t>Mixed - Boran</t>
  </si>
  <si>
    <t>Zebu</t>
  </si>
  <si>
    <t>Boran</t>
  </si>
  <si>
    <t>Cowcalf</t>
  </si>
  <si>
    <t>Finisher</t>
  </si>
  <si>
    <t>Finisher - Boran</t>
  </si>
  <si>
    <t>Finisher - Exotic</t>
  </si>
  <si>
    <t>Cowcalf - Boran</t>
  </si>
  <si>
    <t>Cowcalf - Exotic</t>
  </si>
  <si>
    <t>Check - subsistence</t>
  </si>
  <si>
    <t>Check - all</t>
  </si>
  <si>
    <t>All</t>
  </si>
  <si>
    <t>Breed</t>
  </si>
  <si>
    <t>Exotic</t>
  </si>
  <si>
    <t>Systems</t>
  </si>
  <si>
    <t>Sources</t>
  </si>
  <si>
    <t>Summary</t>
  </si>
  <si>
    <t>Farm decomposition</t>
  </si>
  <si>
    <t>Breed decompositon (by farmtype)</t>
  </si>
  <si>
    <t>Gatsby</t>
  </si>
  <si>
    <t>APRI (2025)</t>
  </si>
  <si>
    <t>GLS (2019)</t>
  </si>
  <si>
    <t>Mwangi et al. ()</t>
  </si>
  <si>
    <t>Frac pastoral to agpastoral - arid</t>
  </si>
  <si>
    <t>Frac pastoral to agpastoral - semiarid</t>
  </si>
  <si>
    <t>Frac mixed to agropastoral - semi arid</t>
  </si>
  <si>
    <t>KNBS - Breed statistics</t>
  </si>
  <si>
    <t>Cow-calf</t>
  </si>
  <si>
    <t>Fraction</t>
  </si>
  <si>
    <t>FAO (2019) estimates</t>
  </si>
  <si>
    <t>Absolute difference</t>
  </si>
  <si>
    <t>Growth rate</t>
  </si>
  <si>
    <t>Absolute growth (M hd)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</si>
</sst>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165" fontId="0" fillId="0" borderId="0" xfId="0" applyNumberFormat="1" applyAlignment="1">
      <alignment horizontal="center"/>
    </xf>
    <xf numFmtId="165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B811A-D787-470A-BC9B-ADC2FAC32699}">
  <dimension ref="A1:K40"/>
  <sheetViews>
    <sheetView workbookViewId="0">
      <selection activeCell="I8" sqref="I8"/>
    </sheetView>
  </sheetViews>
  <sheetFormatPr defaultRowHeight="14.4" x14ac:dyDescent="0.55000000000000004"/>
  <cols>
    <col min="1" max="1" width="18.5234375" customWidth="1"/>
    <col min="2" max="4" width="15.26171875" bestFit="1" customWidth="1"/>
    <col min="5" max="5" width="16.26171875" bestFit="1" customWidth="1"/>
    <col min="7" max="7" width="28.47265625" customWidth="1"/>
    <col min="8" max="8" width="11.68359375" bestFit="1" customWidth="1"/>
  </cols>
  <sheetData>
    <row r="1" spans="1:11" x14ac:dyDescent="0.55000000000000004">
      <c r="A1" s="3"/>
      <c r="B1" s="2" t="s">
        <v>2</v>
      </c>
      <c r="C1" s="2" t="s">
        <v>3</v>
      </c>
      <c r="D1" s="2" t="s">
        <v>4</v>
      </c>
      <c r="E1" s="2" t="s">
        <v>33</v>
      </c>
      <c r="G1" s="1" t="s">
        <v>6</v>
      </c>
      <c r="K1" s="1" t="s">
        <v>37</v>
      </c>
    </row>
    <row r="2" spans="1:11" x14ac:dyDescent="0.55000000000000004">
      <c r="A2" s="2" t="s">
        <v>0</v>
      </c>
      <c r="B2" s="5">
        <f>220785.652176112/1000000</f>
        <v>0.22078565217611199</v>
      </c>
      <c r="C2" s="5">
        <f>467695.362210333/1000000</f>
        <v>0.46769536221033298</v>
      </c>
      <c r="D2" s="5">
        <f>589697.332663339/1000000</f>
        <v>0.58969733266333901</v>
      </c>
      <c r="E2" s="6">
        <f>SUM(B2:D2)</f>
        <v>1.2781783470497841</v>
      </c>
      <c r="G2" t="s">
        <v>9</v>
      </c>
      <c r="H2" t="s">
        <v>7</v>
      </c>
      <c r="I2">
        <v>3.5000000000000001E-3</v>
      </c>
      <c r="K2" t="s">
        <v>41</v>
      </c>
    </row>
    <row r="3" spans="1:11" x14ac:dyDescent="0.55000000000000004">
      <c r="A3" s="2" t="s">
        <v>1</v>
      </c>
      <c r="B3" s="5">
        <f>4580694.99302149/1000000</f>
        <v>4.5806949930214902</v>
      </c>
      <c r="C3" s="5">
        <f>5931614.27070093/1000000</f>
        <v>5.9316142707009298</v>
      </c>
      <c r="D3" s="5">
        <v>4.9681075438200857</v>
      </c>
      <c r="E3" s="6">
        <f>SUM(B3:D3)</f>
        <v>15.480416807542506</v>
      </c>
      <c r="H3" t="s">
        <v>8</v>
      </c>
      <c r="I3">
        <v>0.68</v>
      </c>
      <c r="K3" t="s">
        <v>42</v>
      </c>
    </row>
    <row r="4" spans="1:11" x14ac:dyDescent="0.55000000000000004">
      <c r="A4" s="2" t="s">
        <v>5</v>
      </c>
      <c r="B4" s="5">
        <f>SUM(B2:B3)</f>
        <v>4.8014806451976018</v>
      </c>
      <c r="C4" s="5">
        <f>SUM(C2:C3)</f>
        <v>6.3993096329112626</v>
      </c>
      <c r="D4" s="5">
        <f>SUM(D2:D3)</f>
        <v>5.5578048764834245</v>
      </c>
      <c r="E4" s="6">
        <f>SUM(B4:D4)</f>
        <v>16.758595154592289</v>
      </c>
    </row>
    <row r="5" spans="1:11" x14ac:dyDescent="0.55000000000000004">
      <c r="B5" s="6"/>
      <c r="C5" s="6"/>
      <c r="D5" s="6"/>
      <c r="E5" s="6"/>
      <c r="G5" t="s">
        <v>39</v>
      </c>
      <c r="H5" t="s">
        <v>45</v>
      </c>
      <c r="I5">
        <v>0.85</v>
      </c>
    </row>
    <row r="6" spans="1:11" x14ac:dyDescent="0.55000000000000004">
      <c r="A6" s="8" t="s">
        <v>36</v>
      </c>
      <c r="B6" s="6"/>
      <c r="C6" s="6"/>
      <c r="D6" s="6"/>
      <c r="E6" s="6"/>
      <c r="H6" t="s">
        <v>46</v>
      </c>
      <c r="I6">
        <v>0.7</v>
      </c>
    </row>
    <row r="7" spans="1:11" x14ac:dyDescent="0.55000000000000004">
      <c r="A7" s="2" t="s">
        <v>10</v>
      </c>
      <c r="B7" s="6"/>
      <c r="C7" s="6"/>
      <c r="D7" s="6"/>
      <c r="E7" s="6"/>
      <c r="H7" t="s">
        <v>47</v>
      </c>
      <c r="I7">
        <v>0.35</v>
      </c>
      <c r="K7" t="s">
        <v>43</v>
      </c>
    </row>
    <row r="8" spans="1:11" x14ac:dyDescent="0.55000000000000004">
      <c r="A8" s="3" t="s">
        <v>15</v>
      </c>
      <c r="B8" s="6">
        <f>B3*I5</f>
        <v>3.8935907440682667</v>
      </c>
      <c r="C8" s="6">
        <f>C3*I6</f>
        <v>4.1521299894906507</v>
      </c>
      <c r="D8" s="6"/>
      <c r="E8" s="6">
        <f t="shared" ref="E8:E18" si="0">SUM(B8:D8)</f>
        <v>8.0457207335589178</v>
      </c>
    </row>
    <row r="9" spans="1:11" x14ac:dyDescent="0.55000000000000004">
      <c r="A9" s="3" t="s">
        <v>16</v>
      </c>
      <c r="B9" s="6">
        <f>B8*(1-I9)</f>
        <v>1.5574362976273068</v>
      </c>
      <c r="C9" s="6">
        <f>C8*(1-I9)</f>
        <v>1.6608519957962604</v>
      </c>
      <c r="D9" s="6"/>
      <c r="E9" s="6">
        <f t="shared" si="0"/>
        <v>3.2182882934235675</v>
      </c>
      <c r="G9" t="s">
        <v>40</v>
      </c>
      <c r="H9" t="s">
        <v>11</v>
      </c>
      <c r="I9">
        <v>0.6</v>
      </c>
      <c r="K9" t="s">
        <v>44</v>
      </c>
    </row>
    <row r="10" spans="1:11" x14ac:dyDescent="0.55000000000000004">
      <c r="A10" s="3" t="s">
        <v>17</v>
      </c>
      <c r="B10" s="6">
        <f>B8*(I9)</f>
        <v>2.3361544464409598</v>
      </c>
      <c r="C10" s="6">
        <f>C8*(I9)</f>
        <v>2.4912779936943905</v>
      </c>
      <c r="D10" s="6"/>
      <c r="E10" s="6">
        <f t="shared" si="0"/>
        <v>4.8274324401353503</v>
      </c>
      <c r="H10" t="s">
        <v>12</v>
      </c>
      <c r="I10">
        <v>0.6</v>
      </c>
      <c r="K10" t="s">
        <v>44</v>
      </c>
    </row>
    <row r="11" spans="1:11" x14ac:dyDescent="0.55000000000000004">
      <c r="B11" s="6"/>
      <c r="C11" s="6"/>
      <c r="D11" s="6"/>
      <c r="E11" s="6"/>
      <c r="H11" t="s">
        <v>14</v>
      </c>
      <c r="I11">
        <v>0.5</v>
      </c>
      <c r="K11" t="s">
        <v>43</v>
      </c>
    </row>
    <row r="12" spans="1:11" x14ac:dyDescent="0.55000000000000004">
      <c r="A12" s="3" t="s">
        <v>18</v>
      </c>
      <c r="B12" s="6">
        <f>B3*(1-I5)</f>
        <v>0.68710424895322364</v>
      </c>
      <c r="C12" s="6">
        <f>C3*(1-I6)</f>
        <v>1.7794842812102791</v>
      </c>
      <c r="D12" s="6">
        <f>D3*(1-I6)</f>
        <v>1.4904322631460258</v>
      </c>
      <c r="E12" s="6">
        <f t="shared" si="0"/>
        <v>3.9570207933095283</v>
      </c>
    </row>
    <row r="13" spans="1:11" x14ac:dyDescent="0.55000000000000004">
      <c r="A13" s="3" t="s">
        <v>19</v>
      </c>
      <c r="B13" s="6">
        <f>B$12*(1-I10)</f>
        <v>0.27484169958128946</v>
      </c>
      <c r="C13" s="6">
        <f>C12*(1-I10)</f>
        <v>0.71179371248411172</v>
      </c>
      <c r="D13" s="6">
        <f>D12*(1-I10)</f>
        <v>0.59617290525841038</v>
      </c>
      <c r="E13" s="6">
        <f t="shared" si="0"/>
        <v>1.5828083173238117</v>
      </c>
    </row>
    <row r="14" spans="1:11" x14ac:dyDescent="0.55000000000000004">
      <c r="A14" s="3" t="s">
        <v>20</v>
      </c>
      <c r="B14" s="6">
        <f>B$12*(I10)</f>
        <v>0.41226254937193418</v>
      </c>
      <c r="C14" s="6">
        <f>C12*(I10)</f>
        <v>1.0676905687261675</v>
      </c>
      <c r="D14" s="6">
        <f>D12*(I10)</f>
        <v>0.89425935788761546</v>
      </c>
      <c r="E14" s="6">
        <f t="shared" si="0"/>
        <v>2.3742124759857171</v>
      </c>
    </row>
    <row r="15" spans="1:11" x14ac:dyDescent="0.55000000000000004">
      <c r="B15" s="6"/>
      <c r="C15" s="6"/>
      <c r="D15" s="6"/>
      <c r="E15" s="6"/>
    </row>
    <row r="16" spans="1:11" x14ac:dyDescent="0.55000000000000004">
      <c r="A16" s="3" t="s">
        <v>13</v>
      </c>
      <c r="B16" s="6"/>
      <c r="C16" s="6"/>
      <c r="D16" s="6">
        <f>D3*I7</f>
        <v>1.7388376403370298</v>
      </c>
      <c r="E16" s="6">
        <f t="shared" si="0"/>
        <v>1.7388376403370298</v>
      </c>
    </row>
    <row r="17" spans="1:5" x14ac:dyDescent="0.55000000000000004">
      <c r="A17" s="3" t="s">
        <v>21</v>
      </c>
      <c r="B17" s="6"/>
      <c r="C17" s="6"/>
      <c r="D17" s="6">
        <f>D$16*(1-I11)</f>
        <v>0.86941882016851491</v>
      </c>
      <c r="E17" s="6">
        <f t="shared" si="0"/>
        <v>0.86941882016851491</v>
      </c>
    </row>
    <row r="18" spans="1:5" x14ac:dyDescent="0.55000000000000004">
      <c r="A18" s="3" t="s">
        <v>22</v>
      </c>
      <c r="B18" s="6"/>
      <c r="C18" s="6"/>
      <c r="D18" s="6">
        <f>D$16*(I11)</f>
        <v>0.86941882016851491</v>
      </c>
      <c r="E18" s="6">
        <f t="shared" si="0"/>
        <v>0.86941882016851491</v>
      </c>
    </row>
    <row r="19" spans="1:5" x14ac:dyDescent="0.55000000000000004">
      <c r="B19" s="6"/>
      <c r="C19" s="6"/>
      <c r="D19" s="6"/>
      <c r="E19" s="6"/>
    </row>
    <row r="20" spans="1:5" x14ac:dyDescent="0.55000000000000004">
      <c r="B20" s="6"/>
      <c r="C20" s="6"/>
      <c r="D20" s="6"/>
      <c r="E20" s="6"/>
    </row>
    <row r="21" spans="1:5" x14ac:dyDescent="0.55000000000000004">
      <c r="A21" s="3" t="s">
        <v>31</v>
      </c>
      <c r="B21" s="6">
        <f>SUM(B13:B14)+SUM(B9:B10)</f>
        <v>4.5806949930214902</v>
      </c>
      <c r="C21" s="6">
        <f>SUM(C13:C14)+SUM(C9:C10)</f>
        <v>5.9316142707009298</v>
      </c>
      <c r="D21" s="6">
        <f>SUM(D13:D14)+SUM(D17:D18)</f>
        <v>3.2292699034830559</v>
      </c>
      <c r="E21" s="6">
        <f>SUM(B21:D21)</f>
        <v>13.741579167205476</v>
      </c>
    </row>
    <row r="22" spans="1:5" x14ac:dyDescent="0.55000000000000004">
      <c r="A22" s="3"/>
      <c r="B22" s="6"/>
      <c r="C22" s="6"/>
      <c r="D22" s="6"/>
      <c r="E22" s="6"/>
    </row>
    <row r="23" spans="1:5" x14ac:dyDescent="0.55000000000000004">
      <c r="A23" s="3" t="s">
        <v>26</v>
      </c>
      <c r="B23" s="6">
        <f>B4*$I2</f>
        <v>1.6805182258191605E-2</v>
      </c>
      <c r="C23" s="6">
        <f t="shared" ref="C23:D23" si="1">C4*$I2</f>
        <v>2.239758371518942E-2</v>
      </c>
      <c r="D23" s="6">
        <f t="shared" si="1"/>
        <v>1.9452317067691988E-2</v>
      </c>
      <c r="E23" s="6">
        <f>SUM(B23:D23)</f>
        <v>5.8655083041073017E-2</v>
      </c>
    </row>
    <row r="24" spans="1:5" x14ac:dyDescent="0.55000000000000004">
      <c r="A24" s="3" t="s">
        <v>27</v>
      </c>
      <c r="B24" s="6">
        <f>B23*$I3</f>
        <v>1.1427523935570293E-2</v>
      </c>
      <c r="C24" s="6">
        <f t="shared" ref="C24:D24" si="2">C23*$I3</f>
        <v>1.5230356926328808E-2</v>
      </c>
      <c r="D24" s="6">
        <f t="shared" si="2"/>
        <v>1.3227575606030552E-2</v>
      </c>
      <c r="E24" s="6">
        <f t="shared" ref="E24:E29" si="3">SUM(B24:D24)</f>
        <v>3.9885456467929653E-2</v>
      </c>
    </row>
    <row r="25" spans="1:5" x14ac:dyDescent="0.55000000000000004">
      <c r="A25" s="3" t="s">
        <v>28</v>
      </c>
      <c r="B25" s="6">
        <f>B23*(1-$I3)</f>
        <v>5.3776583226213129E-3</v>
      </c>
      <c r="C25" s="6">
        <f t="shared" ref="C25:D25" si="4">C23*(1-$I3)</f>
        <v>7.1672267888606136E-3</v>
      </c>
      <c r="D25" s="6">
        <f t="shared" si="4"/>
        <v>6.2247414616614354E-3</v>
      </c>
      <c r="E25" s="6">
        <f t="shared" si="3"/>
        <v>1.8769626573143364E-2</v>
      </c>
    </row>
    <row r="26" spans="1:5" x14ac:dyDescent="0.55000000000000004">
      <c r="A26" s="3"/>
      <c r="B26" s="6"/>
      <c r="C26" s="6"/>
      <c r="D26" s="6"/>
      <c r="E26" s="6"/>
    </row>
    <row r="27" spans="1:5" x14ac:dyDescent="0.55000000000000004">
      <c r="A27" s="3" t="s">
        <v>25</v>
      </c>
      <c r="B27" s="6">
        <f>B4-B23-SUM(B3)</f>
        <v>0.20398046991792018</v>
      </c>
      <c r="C27" s="6">
        <f t="shared" ref="C27:D27" si="5">C4-C23-SUM(C3)</f>
        <v>0.44529777849514307</v>
      </c>
      <c r="D27" s="6">
        <f t="shared" si="5"/>
        <v>0.57024501559564644</v>
      </c>
      <c r="E27" s="6">
        <f t="shared" si="3"/>
        <v>1.2195232640087097</v>
      </c>
    </row>
    <row r="28" spans="1:5" x14ac:dyDescent="0.55000000000000004">
      <c r="A28" s="3" t="s">
        <v>29</v>
      </c>
      <c r="B28" s="6">
        <f>B27*($I3)</f>
        <v>0.13870671954418573</v>
      </c>
      <c r="C28" s="6">
        <f t="shared" ref="C28:D28" si="6">C27*($I3)</f>
        <v>0.30280248937669729</v>
      </c>
      <c r="D28" s="6">
        <f t="shared" si="6"/>
        <v>0.38776661060503959</v>
      </c>
      <c r="E28" s="6">
        <f t="shared" si="3"/>
        <v>0.82927581952592266</v>
      </c>
    </row>
    <row r="29" spans="1:5" x14ac:dyDescent="0.55000000000000004">
      <c r="A29" s="3" t="s">
        <v>30</v>
      </c>
      <c r="B29" s="6">
        <f>B27*(1-$I3)</f>
        <v>6.5273750373734452E-2</v>
      </c>
      <c r="C29" s="6">
        <f t="shared" ref="C29:D29" si="7">C27*(1-$I3)</f>
        <v>0.14249528911844575</v>
      </c>
      <c r="D29" s="6">
        <f t="shared" si="7"/>
        <v>0.18247840499060683</v>
      </c>
      <c r="E29" s="6">
        <f t="shared" si="3"/>
        <v>0.39024744448278703</v>
      </c>
    </row>
    <row r="30" spans="1:5" x14ac:dyDescent="0.55000000000000004">
      <c r="A30" s="3"/>
      <c r="B30" s="6"/>
      <c r="C30" s="6"/>
      <c r="D30" s="6"/>
      <c r="E30" s="6"/>
    </row>
    <row r="31" spans="1:5" x14ac:dyDescent="0.55000000000000004">
      <c r="A31" s="3" t="s">
        <v>32</v>
      </c>
      <c r="B31" s="6">
        <f>SUM(B9:B10,B13:B14,B24:B25,B28:B29)</f>
        <v>4.8014806451976018</v>
      </c>
      <c r="C31" s="6">
        <f>SUM(C9:C10,C13:C14,C24:C25,C28:C29)</f>
        <v>6.3993096329112626</v>
      </c>
      <c r="D31" s="6">
        <f>SUM(D9:D10,D13:D14,D28:D29,D17:D18)</f>
        <v>3.7995149190787023</v>
      </c>
      <c r="E31" s="6">
        <f>SUM(B31:D31)</f>
        <v>15.000305197187568</v>
      </c>
    </row>
    <row r="33" spans="1:8" x14ac:dyDescent="0.55000000000000004">
      <c r="A33" s="2" t="s">
        <v>38</v>
      </c>
    </row>
    <row r="34" spans="1:8" x14ac:dyDescent="0.55000000000000004">
      <c r="A34" s="7" t="s">
        <v>34</v>
      </c>
      <c r="G34" s="3" t="s">
        <v>48</v>
      </c>
    </row>
    <row r="35" spans="1:8" x14ac:dyDescent="0.55000000000000004">
      <c r="A35" s="3" t="s">
        <v>23</v>
      </c>
      <c r="B35" s="4">
        <f>SUM(B9,B13)</f>
        <v>1.8322779972085963</v>
      </c>
      <c r="C35" s="4">
        <f t="shared" ref="C35" si="8">SUM(C9,C13)</f>
        <v>2.372645708280372</v>
      </c>
      <c r="D35" s="4">
        <f>SUM(D13,D17)</f>
        <v>1.4655917254269253</v>
      </c>
      <c r="E35" s="4">
        <f>SUM(B35:D35)</f>
        <v>5.6705154309158941</v>
      </c>
      <c r="F35">
        <f>E35/E$38</f>
        <v>0.37753708244184403</v>
      </c>
      <c r="G35">
        <v>0.36</v>
      </c>
      <c r="H35">
        <f>(F35-G35)</f>
        <v>1.7537082441844043E-2</v>
      </c>
    </row>
    <row r="36" spans="1:8" x14ac:dyDescent="0.55000000000000004">
      <c r="A36" s="3" t="s">
        <v>24</v>
      </c>
      <c r="B36" s="4">
        <f>SUM(B10,B14,B24,B28)</f>
        <v>2.89855123929265</v>
      </c>
      <c r="C36" s="4">
        <f t="shared" ref="C36" si="9">SUM(C10,C14,C24,C28)</f>
        <v>3.8770014087235842</v>
      </c>
      <c r="D36" s="4">
        <f>SUM(D14,D18,D24,D28)</f>
        <v>2.1646723642672003</v>
      </c>
      <c r="E36" s="4">
        <f t="shared" ref="E36:E37" si="10">SUM(B36:D36)</f>
        <v>8.9402250122834346</v>
      </c>
      <c r="F36">
        <f t="shared" ref="F36:F37" si="11">E36/E$38</f>
        <v>0.59523098184496404</v>
      </c>
      <c r="G36">
        <v>0.61</v>
      </c>
      <c r="H36">
        <f>ABS(F36-G36)</f>
        <v>1.4769018155035951E-2</v>
      </c>
    </row>
    <row r="37" spans="1:8" x14ac:dyDescent="0.55000000000000004">
      <c r="A37" s="3" t="s">
        <v>35</v>
      </c>
      <c r="B37" s="6">
        <f>SUM(B25,B29)</f>
        <v>7.0651408696355764E-2</v>
      </c>
      <c r="C37" s="6">
        <f t="shared" ref="C37" si="12">SUM(C25,C29)</f>
        <v>0.14966251590730636</v>
      </c>
      <c r="D37" s="6">
        <f>SUM(D25,D29)</f>
        <v>0.18870314645226827</v>
      </c>
      <c r="E37" s="4">
        <f t="shared" si="10"/>
        <v>0.40901707105593038</v>
      </c>
      <c r="F37">
        <f t="shared" si="11"/>
        <v>2.7231935713191914E-2</v>
      </c>
      <c r="G37">
        <v>0.03</v>
      </c>
      <c r="H37">
        <f>ABS(F37-G37)</f>
        <v>2.7680642868080849E-3</v>
      </c>
    </row>
    <row r="38" spans="1:8" x14ac:dyDescent="0.55000000000000004">
      <c r="A38" s="3" t="s">
        <v>33</v>
      </c>
      <c r="B38" s="4">
        <f>SUM(B35:B37)</f>
        <v>4.8014806451976018</v>
      </c>
      <c r="C38" s="4">
        <f t="shared" ref="C38:D38" si="13">SUM(C35:C37)</f>
        <v>6.3993096329112626</v>
      </c>
      <c r="D38" s="4">
        <f t="shared" si="13"/>
        <v>3.8189672361463938</v>
      </c>
      <c r="E38" s="4">
        <f>SUM(B38:D38)</f>
        <v>15.019757514255259</v>
      </c>
      <c r="H38">
        <f>SUM(H35:H37)</f>
        <v>3.5074164883688079E-2</v>
      </c>
    </row>
    <row r="40" spans="1:8" x14ac:dyDescent="0.55000000000000004">
      <c r="A40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88038-24E0-4487-8E9E-ADD8D4CE8257}">
  <dimension ref="A1:E7"/>
  <sheetViews>
    <sheetView workbookViewId="0">
      <selection activeCell="A2" sqref="A2:A6"/>
    </sheetView>
  </sheetViews>
  <sheetFormatPr defaultRowHeight="14.4" x14ac:dyDescent="0.55000000000000004"/>
  <sheetData>
    <row r="1" spans="1:5" x14ac:dyDescent="0.55000000000000004">
      <c r="B1" t="s">
        <v>5</v>
      </c>
      <c r="C1" t="s">
        <v>50</v>
      </c>
      <c r="D1" t="s">
        <v>51</v>
      </c>
      <c r="E1" t="s">
        <v>52</v>
      </c>
    </row>
    <row r="2" spans="1:5" x14ac:dyDescent="0.55000000000000004">
      <c r="A2" t="s">
        <v>15</v>
      </c>
      <c r="B2">
        <f>Herd_decision_tree!E8</f>
        <v>8.0457207335589178</v>
      </c>
      <c r="C2">
        <f>B2/$B$7</f>
        <v>0.43443985307938637</v>
      </c>
      <c r="D2">
        <v>0.43</v>
      </c>
      <c r="E2">
        <f>ABS(C2-D2)</f>
        <v>4.43985307938638E-3</v>
      </c>
    </row>
    <row r="3" spans="1:5" x14ac:dyDescent="0.55000000000000004">
      <c r="A3" t="s">
        <v>18</v>
      </c>
      <c r="B3">
        <f>Herd_decision_tree!E12</f>
        <v>3.9570207933095283</v>
      </c>
      <c r="C3">
        <f t="shared" ref="C3:C6" si="0">B3/$B$7</f>
        <v>0.21366482742895962</v>
      </c>
      <c r="D3">
        <v>0.28999999999999998</v>
      </c>
      <c r="E3">
        <f t="shared" ref="E3:E6" si="1">ABS(C3-D3)</f>
        <v>7.6335172571040361E-2</v>
      </c>
    </row>
    <row r="4" spans="1:5" x14ac:dyDescent="0.55000000000000004">
      <c r="A4" t="s">
        <v>13</v>
      </c>
      <c r="B4">
        <f>Herd_decision_tree!E16</f>
        <v>1.7388376403370298</v>
      </c>
      <c r="C4">
        <f t="shared" si="0"/>
        <v>9.3890950731865139E-2</v>
      </c>
      <c r="D4">
        <v>0.1</v>
      </c>
      <c r="E4">
        <f t="shared" si="1"/>
        <v>6.1090492681348668E-3</v>
      </c>
    </row>
    <row r="5" spans="1:5" x14ac:dyDescent="0.55000000000000004">
      <c r="A5" t="s">
        <v>49</v>
      </c>
      <c r="B5">
        <f>Herd_decision_tree!E27</f>
        <v>1.2195232640087097</v>
      </c>
      <c r="C5">
        <f t="shared" si="0"/>
        <v>6.5849850521531014E-2</v>
      </c>
      <c r="D5">
        <v>0.04</v>
      </c>
      <c r="E5">
        <f t="shared" si="1"/>
        <v>2.5849850521531013E-2</v>
      </c>
    </row>
    <row r="6" spans="1:5" x14ac:dyDescent="0.55000000000000004">
      <c r="A6" t="s">
        <v>26</v>
      </c>
      <c r="B6">
        <f>Herd_decision_tree!E23</f>
        <v>5.8655083041073017E-2</v>
      </c>
      <c r="C6">
        <f t="shared" si="0"/>
        <v>3.1671625827673117E-3</v>
      </c>
      <c r="D6">
        <v>2.0000000000000001E-4</v>
      </c>
      <c r="E6">
        <f t="shared" si="1"/>
        <v>2.9671625827673116E-3</v>
      </c>
    </row>
    <row r="7" spans="1:5" x14ac:dyDescent="0.55000000000000004">
      <c r="B7">
        <f>SUM(B2:B6)+3.5</f>
        <v>18.519757514255261</v>
      </c>
      <c r="E7">
        <f>SUM(E2:E6)</f>
        <v>0.11570108802285993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4001-CB5D-4E56-8C0D-2957A97A30B1}">
  <dimension ref="A1:E6"/>
  <sheetViews>
    <sheetView tabSelected="1" workbookViewId="0">
      <selection activeCell="F2" sqref="F2"/>
    </sheetView>
  </sheetViews>
  <sheetFormatPr defaultRowHeight="14.4" x14ac:dyDescent="0.55000000000000004"/>
  <sheetData>
    <row r="1" spans="1:5" x14ac:dyDescent="0.55000000000000004">
      <c r="B1">
        <v>2020</v>
      </c>
      <c r="C1" t="s">
        <v>53</v>
      </c>
      <c r="D1" t="s">
        <v>54</v>
      </c>
      <c r="E1">
        <v>2050</v>
      </c>
    </row>
    <row r="2" spans="1:5" x14ac:dyDescent="0.55000000000000004">
      <c r="A2" t="s">
        <v>15</v>
      </c>
      <c r="B2">
        <f>Validate_2020!B2</f>
        <v>8.0457207335589178</v>
      </c>
      <c r="C2">
        <v>0.05</v>
      </c>
      <c r="D2">
        <f>B2*C2*30</f>
        <v>12.068581100338378</v>
      </c>
      <c r="E2">
        <f>B2+D2</f>
        <v>20.114301833897294</v>
      </c>
    </row>
    <row r="3" spans="1:5" x14ac:dyDescent="0.55000000000000004">
      <c r="A3" t="s">
        <v>18</v>
      </c>
      <c r="B3">
        <f>Validate_2020!B3</f>
        <v>3.9570207933095283</v>
      </c>
      <c r="C3">
        <v>0.05</v>
      </c>
      <c r="D3">
        <f t="shared" ref="D3:D6" si="0">B3*C3*30</f>
        <v>5.9355311899642933</v>
      </c>
      <c r="E3">
        <f t="shared" ref="E3:E6" si="1">B3+D3</f>
        <v>9.8925519832738225</v>
      </c>
    </row>
    <row r="4" spans="1:5" x14ac:dyDescent="0.55000000000000004">
      <c r="A4" t="s">
        <v>13</v>
      </c>
      <c r="B4">
        <f>Validate_2020!B4</f>
        <v>1.7388376403370298</v>
      </c>
      <c r="C4">
        <v>0.05</v>
      </c>
      <c r="D4">
        <f t="shared" si="0"/>
        <v>2.6082564605055447</v>
      </c>
      <c r="E4">
        <f t="shared" si="1"/>
        <v>4.3470941008425745</v>
      </c>
    </row>
    <row r="5" spans="1:5" x14ac:dyDescent="0.55000000000000004">
      <c r="A5" t="s">
        <v>49</v>
      </c>
      <c r="B5">
        <f>Validate_2020!B5</f>
        <v>1.2195232640087097</v>
      </c>
      <c r="C5">
        <v>0.05</v>
      </c>
      <c r="D5">
        <f t="shared" si="0"/>
        <v>1.8292848960130645</v>
      </c>
      <c r="E5">
        <f t="shared" si="1"/>
        <v>3.0488081600217742</v>
      </c>
    </row>
    <row r="6" spans="1:5" x14ac:dyDescent="0.55000000000000004">
      <c r="A6" t="s">
        <v>26</v>
      </c>
      <c r="B6">
        <f>Validate_2020!B6</f>
        <v>5.8655083041073017E-2</v>
      </c>
      <c r="C6">
        <v>0.05</v>
      </c>
      <c r="D6">
        <f t="shared" si="0"/>
        <v>8.7982624561609532E-2</v>
      </c>
      <c r="E6">
        <f t="shared" si="1"/>
        <v>0.14663770760268255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Herd_decision_tree</vt:lpstr>
      <vt:lpstr>Validate_2020</vt:lpstr>
      <vt:lpstr>Projections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Hawkins</dc:creator>
  <cp:lastModifiedBy>James Hawkins</cp:lastModifiedBy>
  <dcterms:created xsi:type="dcterms:W3CDTF">2026-06-13T04:30:46Z</dcterms:created>
  <dcterms:modified xsi:type="dcterms:W3CDTF">2026-06-14T08:58:10Z</dcterms:modified>
</cp:coreProperties>
</file>