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wkj\Documents\Github\KE.beef.spatial\Rasterized animal populations\Zonal statistics\"/>
    </mc:Choice>
  </mc:AlternateContent>
  <xr:revisionPtr revIDLastSave="0" documentId="13_ncr:1_{E748AAA3-24B6-420B-BD72-338543E05A68}" xr6:coauthVersionLast="47" xr6:coauthVersionMax="47" xr10:uidLastSave="{00000000-0000-0000-0000-000000000000}"/>
  <bookViews>
    <workbookView xWindow="-192" yWindow="-192" windowWidth="23424" windowHeight="12624" activeTab="5" xr2:uid="{3882C52B-09A6-47D1-94BA-1F6173569800}"/>
  </bookViews>
  <sheets>
    <sheet name="Validate_2020" sheetId="2" r:id="rId1"/>
    <sheet name="Herd_decision_tree" sheetId="4" r:id="rId2"/>
    <sheet name="Projections" sheetId="3" r:id="rId3"/>
    <sheet name="ZS_Summary" sheetId="6" r:id="rId4"/>
    <sheet name="NPP" sheetId="8" r:id="rId5"/>
    <sheet name="Carrying_Capacity" sheetId="7" r:id="rId6"/>
    <sheet name="Beef_population_to_GIS" sheetId="9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0" i="7" l="1"/>
  <c r="F67" i="9"/>
  <c r="F66" i="9"/>
  <c r="F64" i="9"/>
  <c r="F63" i="9"/>
  <c r="F61" i="9"/>
  <c r="F60" i="9"/>
  <c r="F58" i="9"/>
  <c r="F57" i="9"/>
  <c r="F55" i="9"/>
  <c r="F54" i="9"/>
  <c r="F52" i="9"/>
  <c r="F51" i="9"/>
  <c r="F49" i="9"/>
  <c r="F48" i="9"/>
  <c r="F46" i="9"/>
  <c r="F45" i="9"/>
  <c r="F43" i="9"/>
  <c r="F42" i="9"/>
  <c r="F40" i="9"/>
  <c r="F39" i="9"/>
  <c r="F37" i="9"/>
  <c r="F36" i="9"/>
  <c r="F34" i="9"/>
  <c r="F33" i="9"/>
  <c r="F31" i="9"/>
  <c r="F30" i="9"/>
  <c r="F28" i="9"/>
  <c r="F27" i="9"/>
  <c r="F25" i="9"/>
  <c r="F24" i="9"/>
  <c r="F22" i="9"/>
  <c r="F21" i="9"/>
  <c r="F19" i="9"/>
  <c r="F18" i="9"/>
  <c r="F16" i="9"/>
  <c r="F15" i="9"/>
  <c r="F13" i="9"/>
  <c r="F12" i="9"/>
  <c r="F10" i="9"/>
  <c r="F9" i="9"/>
  <c r="F7" i="9"/>
  <c r="F6" i="9"/>
  <c r="F65" i="9"/>
  <c r="F62" i="9"/>
  <c r="F53" i="9"/>
  <c r="F59" i="9"/>
  <c r="F50" i="9"/>
  <c r="F56" i="9"/>
  <c r="F47" i="9"/>
  <c r="F38" i="9"/>
  <c r="F44" i="9"/>
  <c r="F35" i="9"/>
  <c r="F41" i="9"/>
  <c r="F32" i="9"/>
  <c r="F29" i="9"/>
  <c r="F26" i="9"/>
  <c r="F17" i="9"/>
  <c r="F14" i="9"/>
  <c r="F23" i="9"/>
  <c r="F20" i="9"/>
  <c r="F11" i="9"/>
  <c r="F8" i="9"/>
  <c r="F5" i="9"/>
  <c r="B52" i="4"/>
  <c r="E49" i="4"/>
  <c r="E48" i="4"/>
  <c r="D5" i="4"/>
  <c r="D4" i="4"/>
  <c r="D3" i="4"/>
  <c r="D2" i="4"/>
  <c r="C5" i="4"/>
  <c r="C4" i="4"/>
  <c r="C3" i="4"/>
  <c r="C2" i="4"/>
  <c r="B5" i="4"/>
  <c r="B4" i="4"/>
  <c r="B2" i="4"/>
  <c r="B3" i="4"/>
  <c r="D7" i="9"/>
  <c r="D10" i="9" s="1"/>
  <c r="D13" i="9" s="1"/>
  <c r="D16" i="9" s="1"/>
  <c r="D19" i="9" s="1"/>
  <c r="D22" i="9" s="1"/>
  <c r="D25" i="9" s="1"/>
  <c r="D28" i="9" s="1"/>
  <c r="D31" i="9" s="1"/>
  <c r="D34" i="9" s="1"/>
  <c r="D37" i="9" s="1"/>
  <c r="D40" i="9" s="1"/>
  <c r="D43" i="9" s="1"/>
  <c r="D46" i="9" s="1"/>
  <c r="D49" i="9" s="1"/>
  <c r="D52" i="9" s="1"/>
  <c r="D55" i="9" s="1"/>
  <c r="D58" i="9" s="1"/>
  <c r="D61" i="9" s="1"/>
  <c r="D64" i="9" s="1"/>
  <c r="D67" i="9" s="1"/>
  <c r="D6" i="9"/>
  <c r="D9" i="9" s="1"/>
  <c r="D12" i="9" s="1"/>
  <c r="D15" i="9" s="1"/>
  <c r="D18" i="9" s="1"/>
  <c r="D21" i="9" s="1"/>
  <c r="D24" i="9" s="1"/>
  <c r="D27" i="9" s="1"/>
  <c r="D30" i="9" s="1"/>
  <c r="D33" i="9" s="1"/>
  <c r="D36" i="9" s="1"/>
  <c r="D39" i="9" s="1"/>
  <c r="D42" i="9" s="1"/>
  <c r="D45" i="9" s="1"/>
  <c r="D48" i="9" s="1"/>
  <c r="D51" i="9" s="1"/>
  <c r="D54" i="9" s="1"/>
  <c r="D57" i="9" s="1"/>
  <c r="D60" i="9" s="1"/>
  <c r="D63" i="9" s="1"/>
  <c r="D66" i="9" s="1"/>
  <c r="D5" i="9"/>
  <c r="D8" i="9" s="1"/>
  <c r="D11" i="9" s="1"/>
  <c r="D14" i="9" s="1"/>
  <c r="D17" i="9" s="1"/>
  <c r="D20" i="9" s="1"/>
  <c r="D23" i="9" s="1"/>
  <c r="D26" i="9" s="1"/>
  <c r="D29" i="9" s="1"/>
  <c r="D32" i="9" s="1"/>
  <c r="D35" i="9" s="1"/>
  <c r="D38" i="9" s="1"/>
  <c r="D41" i="9" s="1"/>
  <c r="D44" i="9" s="1"/>
  <c r="D47" i="9" s="1"/>
  <c r="D50" i="9" s="1"/>
  <c r="D53" i="9" s="1"/>
  <c r="D56" i="9" s="1"/>
  <c r="D59" i="9" s="1"/>
  <c r="D62" i="9" s="1"/>
  <c r="D65" i="9" s="1"/>
  <c r="E9" i="8"/>
  <c r="E8" i="8"/>
  <c r="E7" i="8"/>
  <c r="I5" i="7" l="1"/>
  <c r="I4" i="7"/>
  <c r="G7" i="2"/>
  <c r="C11" i="8"/>
  <c r="E15" i="8"/>
  <c r="E17" i="8"/>
  <c r="C15" i="8"/>
  <c r="E16" i="8"/>
  <c r="E11" i="8"/>
  <c r="E13" i="8"/>
  <c r="E12" i="8"/>
  <c r="H16" i="8" l="1"/>
  <c r="I7" i="7"/>
  <c r="L15" i="8"/>
  <c r="D17" i="8" l="1"/>
  <c r="D16" i="8"/>
  <c r="D15" i="8"/>
  <c r="C17" i="8"/>
  <c r="C16" i="8"/>
  <c r="D13" i="8"/>
  <c r="D12" i="8"/>
  <c r="D11" i="8"/>
  <c r="C13" i="8"/>
  <c r="C12" i="8"/>
  <c r="D8" i="7"/>
  <c r="C8" i="7"/>
  <c r="H17" i="8"/>
  <c r="H12" i="8"/>
  <c r="H11" i="8"/>
  <c r="D9" i="8"/>
  <c r="D8" i="8"/>
  <c r="C2" i="8"/>
  <c r="C9" i="8"/>
  <c r="C8" i="8"/>
  <c r="D7" i="8"/>
  <c r="C7" i="8"/>
  <c r="D12" i="7" l="1"/>
  <c r="D27" i="7"/>
  <c r="C12" i="7"/>
  <c r="C27" i="7"/>
  <c r="C32" i="7" s="1"/>
  <c r="G12" i="8"/>
  <c r="G13" i="8"/>
  <c r="G17" i="8"/>
  <c r="H13" i="8"/>
  <c r="F13" i="8"/>
  <c r="F17" i="8"/>
  <c r="G15" i="8"/>
  <c r="G11" i="8"/>
  <c r="H15" i="8"/>
  <c r="F15" i="8"/>
  <c r="F11" i="8"/>
  <c r="G16" i="8"/>
  <c r="F12" i="8"/>
  <c r="F16" i="8"/>
  <c r="B25" i="8" l="1"/>
  <c r="B29" i="8" s="1"/>
  <c r="B26" i="8"/>
  <c r="B30" i="8" s="1"/>
  <c r="B24" i="8"/>
  <c r="B28" i="8" s="1"/>
  <c r="E8" i="7"/>
  <c r="B6" i="4"/>
  <c r="C7" i="3"/>
  <c r="C35" i="4"/>
  <c r="D7" i="7" s="1"/>
  <c r="D11" i="7" s="1"/>
  <c r="B35" i="4"/>
  <c r="C7" i="7" s="1"/>
  <c r="C26" i="7" s="1"/>
  <c r="C31" i="7" s="1"/>
  <c r="D35" i="4"/>
  <c r="E12" i="7" l="1"/>
  <c r="E27" i="7"/>
  <c r="E3" i="8"/>
  <c r="D3" i="8"/>
  <c r="C4" i="8"/>
  <c r="E4" i="8"/>
  <c r="E2" i="8"/>
  <c r="D4" i="8"/>
  <c r="D2" i="8"/>
  <c r="C3" i="8"/>
  <c r="L16" i="8"/>
  <c r="E32" i="7"/>
  <c r="D32" i="7"/>
  <c r="C11" i="7"/>
  <c r="E5" i="4"/>
  <c r="E7" i="7"/>
  <c r="E35" i="4"/>
  <c r="B7" i="3" s="1"/>
  <c r="D7" i="3" s="1"/>
  <c r="E7" i="3" s="1"/>
  <c r="E28" i="8" l="1"/>
  <c r="E20" i="8"/>
  <c r="E24" i="8"/>
  <c r="C29" i="8"/>
  <c r="C25" i="8"/>
  <c r="C21" i="8"/>
  <c r="C20" i="8"/>
  <c r="C22" i="8" s="1"/>
  <c r="C28" i="8"/>
  <c r="C24" i="8"/>
  <c r="D28" i="8"/>
  <c r="D20" i="8"/>
  <c r="D24" i="8"/>
  <c r="D29" i="8"/>
  <c r="D25" i="8"/>
  <c r="D21" i="8"/>
  <c r="E25" i="8"/>
  <c r="E29" i="8"/>
  <c r="E21" i="8"/>
  <c r="E11" i="7"/>
  <c r="E26" i="7"/>
  <c r="E31" i="7" s="1"/>
  <c r="E22" i="8" l="1"/>
  <c r="E16" i="7" s="1"/>
  <c r="H24" i="8"/>
  <c r="H25" i="8"/>
  <c r="F24" i="8"/>
  <c r="F28" i="8"/>
  <c r="H28" i="8"/>
  <c r="F29" i="8"/>
  <c r="D22" i="8"/>
  <c r="D16" i="7" s="1"/>
  <c r="F25" i="8"/>
  <c r="G25" i="8"/>
  <c r="D30" i="8"/>
  <c r="G28" i="8"/>
  <c r="G24" i="8"/>
  <c r="G29" i="8"/>
  <c r="H29" i="8"/>
  <c r="C16" i="7"/>
  <c r="C26" i="8"/>
  <c r="C36" i="7" s="1"/>
  <c r="D26" i="8"/>
  <c r="D36" i="7" s="1"/>
  <c r="C30" i="8"/>
  <c r="I9" i="4"/>
  <c r="I8" i="4"/>
  <c r="D14" i="4" s="1"/>
  <c r="E3" i="7" s="1"/>
  <c r="I7" i="4"/>
  <c r="B10" i="4" s="1"/>
  <c r="B11" i="4" s="1"/>
  <c r="H8" i="6"/>
  <c r="I8" i="6"/>
  <c r="G8" i="6"/>
  <c r="J4" i="6"/>
  <c r="J5" i="6"/>
  <c r="J6" i="6"/>
  <c r="J7" i="6"/>
  <c r="I4" i="6"/>
  <c r="I5" i="6"/>
  <c r="I6" i="6"/>
  <c r="I7" i="6"/>
  <c r="I3" i="6"/>
  <c r="G7" i="6"/>
  <c r="G6" i="6"/>
  <c r="G5" i="6"/>
  <c r="G4" i="6"/>
  <c r="H7" i="6"/>
  <c r="H6" i="6"/>
  <c r="H5" i="6"/>
  <c r="H4" i="6"/>
  <c r="H3" i="6"/>
  <c r="G3" i="6"/>
  <c r="F2" i="9" l="1"/>
  <c r="F3" i="9" s="1"/>
  <c r="F4" i="9" s="1"/>
  <c r="B42" i="4"/>
  <c r="G26" i="8"/>
  <c r="F26" i="8"/>
  <c r="C45" i="7"/>
  <c r="F30" i="8"/>
  <c r="D45" i="7"/>
  <c r="G30" i="8"/>
  <c r="E30" i="8"/>
  <c r="E26" i="8"/>
  <c r="G4" i="2"/>
  <c r="E36" i="7" l="1"/>
  <c r="H26" i="8"/>
  <c r="E45" i="7"/>
  <c r="H30" i="8"/>
  <c r="D23" i="7"/>
  <c r="C23" i="7"/>
  <c r="G2" i="2"/>
  <c r="E21" i="7" s="1"/>
  <c r="D2" i="2"/>
  <c r="G6" i="2"/>
  <c r="G3" i="2"/>
  <c r="G5" i="2"/>
  <c r="C22" i="7" l="1"/>
  <c r="E22" i="7"/>
  <c r="D4" i="2"/>
  <c r="D5" i="2"/>
  <c r="D6" i="2"/>
  <c r="D3" i="2"/>
  <c r="B5" i="6" l="1"/>
  <c r="D18" i="4"/>
  <c r="D6" i="6"/>
  <c r="D7" i="6"/>
  <c r="C7" i="6"/>
  <c r="B7" i="6"/>
  <c r="C6" i="6"/>
  <c r="B6" i="6"/>
  <c r="C5" i="6"/>
  <c r="C4" i="6"/>
  <c r="B4" i="6"/>
  <c r="C3" i="6"/>
  <c r="B3" i="6"/>
  <c r="D3" i="6" s="1"/>
  <c r="C6" i="3"/>
  <c r="C5" i="3"/>
  <c r="C4" i="3"/>
  <c r="C3" i="3"/>
  <c r="C2" i="3"/>
  <c r="D8" i="6" l="1"/>
  <c r="J8" i="6" s="1"/>
  <c r="J3" i="6"/>
  <c r="E4" i="7"/>
  <c r="D5" i="6"/>
  <c r="D4" i="6"/>
  <c r="E23" i="7" l="1"/>
  <c r="D8" i="2"/>
  <c r="E2" i="2" s="1"/>
  <c r="F2" i="2" s="1"/>
  <c r="I13" i="4"/>
  <c r="D19" i="4" s="1"/>
  <c r="I12" i="4"/>
  <c r="I11" i="4"/>
  <c r="D6" i="4"/>
  <c r="C6" i="4"/>
  <c r="E6" i="4" l="1"/>
  <c r="D16" i="4"/>
  <c r="D43" i="4" s="1"/>
  <c r="C14" i="4"/>
  <c r="D3" i="7" s="1"/>
  <c r="D22" i="7" s="1"/>
  <c r="E3" i="2"/>
  <c r="E6" i="2"/>
  <c r="F6" i="2" s="1"/>
  <c r="E5" i="2"/>
  <c r="F5" i="2" s="1"/>
  <c r="E4" i="2"/>
  <c r="F4" i="2" s="1"/>
  <c r="C10" i="4"/>
  <c r="D2" i="7" s="1"/>
  <c r="C2" i="7"/>
  <c r="C21" i="7" s="1"/>
  <c r="E3" i="4"/>
  <c r="E2" i="4"/>
  <c r="E19" i="4"/>
  <c r="E18" i="4"/>
  <c r="B4" i="2" s="1"/>
  <c r="D20" i="4"/>
  <c r="E20" i="4" s="1"/>
  <c r="D25" i="4"/>
  <c r="D53" i="4" s="1"/>
  <c r="C25" i="4"/>
  <c r="C53" i="4" s="1"/>
  <c r="B25" i="4" l="1"/>
  <c r="B27" i="4" s="1"/>
  <c r="D29" i="4"/>
  <c r="D52" i="4" s="1"/>
  <c r="E6" i="7"/>
  <c r="E25" i="7" s="1"/>
  <c r="D21" i="7"/>
  <c r="C29" i="4"/>
  <c r="C31" i="4" s="1"/>
  <c r="D6" i="7"/>
  <c r="D25" i="7" s="1"/>
  <c r="D15" i="4"/>
  <c r="D23" i="4" s="1"/>
  <c r="E14" i="4"/>
  <c r="B3" i="2" s="1"/>
  <c r="C15" i="4"/>
  <c r="F3" i="2"/>
  <c r="C16" i="4"/>
  <c r="E16" i="4" s="1"/>
  <c r="C12" i="4"/>
  <c r="C11" i="4"/>
  <c r="B12" i="4"/>
  <c r="E10" i="4"/>
  <c r="D26" i="4"/>
  <c r="D27" i="4"/>
  <c r="C26" i="4"/>
  <c r="C27" i="4"/>
  <c r="E25" i="4" l="1"/>
  <c r="B6" i="2" s="1"/>
  <c r="B26" i="4"/>
  <c r="E26" i="4" s="1"/>
  <c r="B53" i="4"/>
  <c r="B29" i="4"/>
  <c r="C6" i="7"/>
  <c r="C25" i="7" s="1"/>
  <c r="D5" i="7"/>
  <c r="C52" i="4"/>
  <c r="C30" i="4"/>
  <c r="C44" i="4" s="1"/>
  <c r="D42" i="4"/>
  <c r="D30" i="4"/>
  <c r="D44" i="4" s="1"/>
  <c r="E5" i="7"/>
  <c r="D31" i="4"/>
  <c r="D45" i="4" s="1"/>
  <c r="E15" i="4"/>
  <c r="C42" i="4"/>
  <c r="E42" i="4" s="1"/>
  <c r="C23" i="4"/>
  <c r="C43" i="4"/>
  <c r="B2" i="2"/>
  <c r="B23" i="4"/>
  <c r="E12" i="4"/>
  <c r="B43" i="4"/>
  <c r="E11" i="4"/>
  <c r="C45" i="4"/>
  <c r="E27" i="4"/>
  <c r="G27" i="4" s="1"/>
  <c r="D24" i="7" l="1"/>
  <c r="D30" i="7" s="1"/>
  <c r="D10" i="7"/>
  <c r="D14" i="7" s="1"/>
  <c r="D18" i="7" s="1"/>
  <c r="E29" i="4"/>
  <c r="B5" i="2" s="1"/>
  <c r="B8" i="2" s="1"/>
  <c r="B31" i="4"/>
  <c r="B45" i="4" s="1"/>
  <c r="E45" i="4" s="1"/>
  <c r="B30" i="4"/>
  <c r="C5" i="7"/>
  <c r="C33" i="4"/>
  <c r="E31" i="4"/>
  <c r="D33" i="4"/>
  <c r="E24" i="7"/>
  <c r="E30" i="7" s="1"/>
  <c r="E34" i="7" s="1"/>
  <c r="E10" i="7"/>
  <c r="E14" i="7" s="1"/>
  <c r="E43" i="4"/>
  <c r="C46" i="4"/>
  <c r="E23" i="4"/>
  <c r="D46" i="4"/>
  <c r="E39" i="7" l="1"/>
  <c r="E43" i="7"/>
  <c r="E48" i="7" s="1"/>
  <c r="E18" i="7"/>
  <c r="B33" i="4"/>
  <c r="E33" i="4" s="1"/>
  <c r="B44" i="4"/>
  <c r="E30" i="4"/>
  <c r="C24" i="7"/>
  <c r="C34" i="7" s="1"/>
  <c r="C10" i="7"/>
  <c r="C14" i="7" s="1"/>
  <c r="C2" i="2"/>
  <c r="H2" i="2" s="1"/>
  <c r="C5" i="2"/>
  <c r="H5" i="2" s="1"/>
  <c r="C6" i="2"/>
  <c r="H6" i="2" s="1"/>
  <c r="C3" i="2"/>
  <c r="H3" i="2" s="1"/>
  <c r="C4" i="2"/>
  <c r="H4" i="2" s="1"/>
  <c r="C43" i="7" l="1"/>
  <c r="C48" i="7" s="1"/>
  <c r="C39" i="7"/>
  <c r="E40" i="7"/>
  <c r="E49" i="7"/>
  <c r="C18" i="7"/>
  <c r="B46" i="4"/>
  <c r="E46" i="4" s="1"/>
  <c r="E6" i="6" s="1"/>
  <c r="L6" i="6" s="1"/>
  <c r="M6" i="6" s="1"/>
  <c r="E44" i="4"/>
  <c r="H8" i="2"/>
  <c r="D26" i="7" s="1"/>
  <c r="D31" i="7" s="1"/>
  <c r="D34" i="7" s="1"/>
  <c r="F44" i="4" l="1"/>
  <c r="F42" i="4"/>
  <c r="F45" i="4"/>
  <c r="D39" i="7"/>
  <c r="D40" i="7" s="1"/>
  <c r="D43" i="7"/>
  <c r="D48" i="7" s="1"/>
  <c r="D49" i="7" s="1"/>
  <c r="C40" i="7"/>
  <c r="C49" i="7"/>
  <c r="F43" i="4"/>
  <c r="G30" i="4" l="1"/>
  <c r="B5" i="3"/>
  <c r="D5" i="3" s="1"/>
  <c r="E5" i="3" s="1"/>
  <c r="B6" i="3"/>
  <c r="D6" i="3" s="1"/>
  <c r="E6" i="3" s="1"/>
  <c r="B2" i="3"/>
  <c r="D2" i="3" s="1"/>
  <c r="E2" i="3" s="1"/>
  <c r="B3" i="3"/>
  <c r="D3" i="3" s="1"/>
  <c r="E3" i="3" s="1"/>
  <c r="B4" i="3"/>
  <c r="D4" i="3" s="1"/>
  <c r="E4" i="3" s="1"/>
  <c r="E4" i="6"/>
  <c r="L4" i="6" s="1"/>
  <c r="M4" i="6" s="1"/>
  <c r="G29" i="4"/>
  <c r="E3" i="6"/>
  <c r="E5" i="6"/>
  <c r="L5" i="6" s="1"/>
  <c r="M5" i="6" s="1"/>
  <c r="E7" i="6"/>
  <c r="L7" i="6" s="1"/>
  <c r="M7" i="6" s="1"/>
  <c r="G26" i="4"/>
  <c r="E8" i="6" l="1"/>
  <c r="L3" i="6"/>
  <c r="L8" i="6" l="1"/>
  <c r="M8" i="6" s="1"/>
  <c r="M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tc={0B974C83-E393-4D24-9238-9ECDE1F8DB25}</author>
  </authors>
  <commentList>
    <comment ref="G41" authorId="0" shapeId="0" xr:uid="{0B974C83-E393-4D24-9238-9ECDE1F8DB2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https://gemini.google.com/app/cb2f8387004cee95
Total boran should be 1 to 1.5 M</t>
      </text>
    </comment>
  </commentList>
</comments>
</file>

<file path=xl/sharedStrings.xml><?xml version="1.0" encoding="utf-8"?>
<sst xmlns="http://schemas.openxmlformats.org/spreadsheetml/2006/main" count="438" uniqueCount="119">
  <si>
    <t>Arid</t>
  </si>
  <si>
    <t>Sarid</t>
  </si>
  <si>
    <t>Humid</t>
  </si>
  <si>
    <t>Total</t>
  </si>
  <si>
    <t>Parameters</t>
  </si>
  <si>
    <t>Frac finisher to total animal population</t>
  </si>
  <si>
    <t>Frac boran to total herd</t>
  </si>
  <si>
    <t>Commercial</t>
  </si>
  <si>
    <t>Subsistence</t>
  </si>
  <si>
    <t>Pastoral -- frac boran to total herd</t>
  </si>
  <si>
    <t>Agpastoral -- frac boran to total herd</t>
  </si>
  <si>
    <t>Mixed</t>
  </si>
  <si>
    <t>Mixed -- Frac boran to total herd</t>
  </si>
  <si>
    <t>Pastoral</t>
  </si>
  <si>
    <t>Pastoral - Zebu</t>
  </si>
  <si>
    <t>Pastoral - Boran</t>
  </si>
  <si>
    <t>Agropastoral</t>
  </si>
  <si>
    <t>Agropastoral - Zebu</t>
  </si>
  <si>
    <t>Agropastoral - Boran</t>
  </si>
  <si>
    <t>Mixed - Zebu</t>
  </si>
  <si>
    <t>Mixed - Boran</t>
  </si>
  <si>
    <t>Zebu</t>
  </si>
  <si>
    <t>Cowcalf</t>
  </si>
  <si>
    <t>Finisher</t>
  </si>
  <si>
    <t>Finisher - Boran</t>
  </si>
  <si>
    <t>Finisher - Exotic</t>
  </si>
  <si>
    <t>Cowcalf - Boran</t>
  </si>
  <si>
    <t>Cowcalf - Exotic</t>
  </si>
  <si>
    <t>Check - subsistence</t>
  </si>
  <si>
    <t>Check - all</t>
  </si>
  <si>
    <t>All</t>
  </si>
  <si>
    <t>Breed</t>
  </si>
  <si>
    <t>Exotic</t>
  </si>
  <si>
    <t>Systems</t>
  </si>
  <si>
    <t>Sources</t>
  </si>
  <si>
    <t>Summary</t>
  </si>
  <si>
    <t>Farm decomposition</t>
  </si>
  <si>
    <t>Gatsby</t>
  </si>
  <si>
    <t>APRI (2025)</t>
  </si>
  <si>
    <t>GLS (2019)</t>
  </si>
  <si>
    <t>Frac pastoral to agpastoral - arid</t>
  </si>
  <si>
    <t>Frac mixed to agropastoral - semi arid</t>
  </si>
  <si>
    <t>Cow-calf</t>
  </si>
  <si>
    <t>Fraction</t>
  </si>
  <si>
    <t>Absolute difference</t>
  </si>
  <si>
    <t>Growth rate</t>
  </si>
  <si>
    <t>Absolute growth (M hd)</t>
  </si>
  <si>
    <t>Breed decompositon (by farm-type)</t>
  </si>
  <si>
    <t>Boran -- Subsistence</t>
  </si>
  <si>
    <t>Boran -- Commercial</t>
  </si>
  <si>
    <t>FAO (2019) estimates --- all catl</t>
  </si>
  <si>
    <t>trend.line(FAO)</t>
  </si>
  <si>
    <t>FAO (2019) estimates --- beef cattle -- no trend adjustment</t>
  </si>
  <si>
    <t>FAO (2019) estimates --- beef cattle -- trend adjustment</t>
  </si>
  <si>
    <t>Breed 1</t>
  </si>
  <si>
    <t>Breed 2</t>
  </si>
  <si>
    <t>Excel method</t>
  </si>
  <si>
    <t>Delta total</t>
  </si>
  <si>
    <t>Semi-arid</t>
  </si>
  <si>
    <t>Humid/subhumid</t>
  </si>
  <si>
    <t>Mean LW -- beef cattle (kg)</t>
  </si>
  <si>
    <t>Dairy</t>
  </si>
  <si>
    <t>Mean LW -- dairy cattle (kg)</t>
  </si>
  <si>
    <t>FRAC DMI as BW</t>
  </si>
  <si>
    <t>Total weight  - Beef (kg)</t>
  </si>
  <si>
    <t>Total weight  - Dairy (kg)</t>
  </si>
  <si>
    <t>Biomass demand (MT/ha/yr)</t>
  </si>
  <si>
    <t>Year</t>
  </si>
  <si>
    <t>2050 R4</t>
  </si>
  <si>
    <t>2050 R8</t>
  </si>
  <si>
    <t>Frac pastoral to agpastoral - semiarid &amp; humid</t>
  </si>
  <si>
    <t>NPP - Grassland</t>
  </si>
  <si>
    <t>NPP - Cropland</t>
  </si>
  <si>
    <t>NPP - Shrubland</t>
  </si>
  <si>
    <t>BIOM GRASS Supply (MT/ha/yr)</t>
  </si>
  <si>
    <t>BIOM CROP Supply (MT/ha/yr)</t>
  </si>
  <si>
    <t>BIOM Total (MT/ha/yr)</t>
  </si>
  <si>
    <t>Biomass demand (MT/yr)</t>
  </si>
  <si>
    <t>Biomass supply (MT/yr)</t>
  </si>
  <si>
    <t>Comm beef</t>
  </si>
  <si>
    <t>Subs beef</t>
  </si>
  <si>
    <t>Total beef</t>
  </si>
  <si>
    <t>Carrying capacity (S/D)</t>
  </si>
  <si>
    <t>Sheep</t>
  </si>
  <si>
    <t>Mean LW -- sheep (kg)</t>
  </si>
  <si>
    <t>Total weight - Sheep (kg)</t>
  </si>
  <si>
    <t>2050 - ha/pixel</t>
  </si>
  <si>
    <t>2020 - ha/pixel</t>
  </si>
  <si>
    <t>Simulation average</t>
  </si>
  <si>
    <t>GRASSLAND</t>
  </si>
  <si>
    <t>CROPLAND</t>
  </si>
  <si>
    <t>SHRUBLAND</t>
  </si>
  <si>
    <t>Land areas (ha)</t>
  </si>
  <si>
    <t>NPP (kg C/m2/yr)</t>
  </si>
  <si>
    <t>FRAC Fed -- Arid</t>
  </si>
  <si>
    <t>FRAC Fed -- Semi-arid</t>
  </si>
  <si>
    <t>FRAC Fed -- Humid/Subhumid</t>
  </si>
  <si>
    <t>breed</t>
  </si>
  <si>
    <t>farm.type</t>
  </si>
  <si>
    <t>aez</t>
  </si>
  <si>
    <t>cohort</t>
  </si>
  <si>
    <t>scenario</t>
  </si>
  <si>
    <t>zebu</t>
  </si>
  <si>
    <t>pastoral</t>
  </si>
  <si>
    <t>arid</t>
  </si>
  <si>
    <t>male.finisher</t>
  </si>
  <si>
    <t>baseline</t>
  </si>
  <si>
    <t>female.finisher</t>
  </si>
  <si>
    <t>female.breeder</t>
  </si>
  <si>
    <t>semi.arid</t>
  </si>
  <si>
    <t>boran</t>
  </si>
  <si>
    <t>agro-pastoral</t>
  </si>
  <si>
    <t>humid.subhumid</t>
  </si>
  <si>
    <t>mixed</t>
  </si>
  <si>
    <t>cow-calf</t>
  </si>
  <si>
    <t>beef</t>
  </si>
  <si>
    <t>finisher</t>
  </si>
  <si>
    <t>population.M.hd</t>
  </si>
  <si>
    <t>Pixel 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</si>
</sst>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"/>
    <numFmt numFmtId="165" formatCode="0.000000000"/>
    <numFmt numFmtId="166" formatCode="0.0000000"/>
    <numFmt numFmtId="167" formatCode="0.000"/>
    <numFmt numFmtId="168" formatCode="0.0000"/>
    <numFmt numFmtId="169" formatCode="0.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0" xfId="0" applyFill="1"/>
    <xf numFmtId="164" fontId="0" fillId="0" borderId="0" xfId="0" applyNumberFormat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1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2" borderId="0" xfId="0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0" fontId="1" fillId="3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1" fillId="4" borderId="0" xfId="0" applyFont="1" applyFill="1"/>
    <xf numFmtId="0" fontId="0" fillId="4" borderId="0" xfId="0" applyFill="1"/>
    <xf numFmtId="167" fontId="0" fillId="4" borderId="0" xfId="0" applyNumberFormat="1" applyFill="1"/>
    <xf numFmtId="167" fontId="0" fillId="3" borderId="0" xfId="0" applyNumberFormat="1" applyFill="1"/>
    <xf numFmtId="0" fontId="1" fillId="4" borderId="0" xfId="0" applyFont="1" applyFill="1" applyAlignment="1">
      <alignment horizontal="center"/>
    </xf>
    <xf numFmtId="167" fontId="0" fillId="4" borderId="0" xfId="0" applyNumberFormat="1" applyFill="1" applyAlignment="1">
      <alignment horizontal="center"/>
    </xf>
    <xf numFmtId="169" fontId="4" fillId="0" borderId="0" xfId="0" applyNumberFormat="1" applyFont="1"/>
    <xf numFmtId="0" fontId="1" fillId="0" borderId="0" xfId="0" applyFont="1" applyAlignment="1">
      <alignment horizont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4.xml"/><Relationship Id="rId82" Type="http://schemas.openxmlformats.org/officeDocument/2006/relationships/calcChain" Target="calcChain.xml"/><Relationship Id="rId19" Type="http://schemas.openxmlformats.org/officeDocument/2006/relationships/externalLink" Target="externalLinks/externalLink1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theme" Target="theme/theme1.xml"/><Relationship Id="rId8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Subsistence.csv" TargetMode="External"/><Relationship Id="rId1" Type="http://schemas.openxmlformats.org/officeDocument/2006/relationships/externalLinkPath" Target="Arid_Subsistence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Subsistence.csv" TargetMode="External"/><Relationship Id="rId1" Type="http://schemas.openxmlformats.org/officeDocument/2006/relationships/externalLinkPath" Target="SArid_Subsistence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Subsistence.csv" TargetMode="External"/><Relationship Id="rId1" Type="http://schemas.openxmlformats.org/officeDocument/2006/relationships/externalLinkPath" Target="Humid_Subsistence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Arid_Commercial.csv" TargetMode="External"/><Relationship Id="rId1" Type="http://schemas.openxmlformats.org/officeDocument/2006/relationships/externalLinkPath" Target="Arid_Commercial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SArid_Commercial.csv" TargetMode="External"/><Relationship Id="rId1" Type="http://schemas.openxmlformats.org/officeDocument/2006/relationships/externalLinkPath" Target="SArid_Commercial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Humid_Commercial.csv" TargetMode="External"/><Relationship Id="rId1" Type="http://schemas.openxmlformats.org/officeDocument/2006/relationships/externalLinkPath" Target="Humid_Commercial.csv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Rasterized%20animal%20populations/Dairy/Dairy_total_Arid_2020.csv" TargetMode="External"/><Relationship Id="rId2" Type="http://schemas.openxmlformats.org/officeDocument/2006/relationships/externalLinkPath" Target="file:///C:\Users\JHawkins\Documents\Github\KE.beef.spatial\Rasterized%20animal%20populations\Dairy\Dairy_total_Arid_2020.csv" TargetMode="External"/><Relationship Id="rId1" Type="http://schemas.openxmlformats.org/officeDocument/2006/relationships/externalLinkPath" Target="/Users/JHawkins/Documents/Github/KE.beef.spatial/Rasterized%20animal%20populations/Dairy/Dairy_total_Arid_2020.csv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Rasterized%20animal%20populations/Dairy/Dairy_total_SArid_2020.csv" TargetMode="External"/><Relationship Id="rId2" Type="http://schemas.openxmlformats.org/officeDocument/2006/relationships/externalLinkPath" Target="file:///C:\Users\JHawkins\Documents\Github\KE.beef.spatial\Rasterized%20animal%20populations\Dairy\Dairy_total_SArid_2020.csv" TargetMode="External"/><Relationship Id="rId1" Type="http://schemas.openxmlformats.org/officeDocument/2006/relationships/externalLinkPath" Target="/Users/JHawkins/Documents/Github/KE.beef.spatial/Rasterized%20animal%20populations/Dairy/Dairy_total_SArid_2020.csv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Rasterized%20animal%20populations/Dairy/Dairy_total_Humid_2020.csv" TargetMode="External"/><Relationship Id="rId2" Type="http://schemas.openxmlformats.org/officeDocument/2006/relationships/externalLinkPath" Target="file:///C:\Users\JHawkins\Documents\Github\KE.beef.spatial\Rasterized%20animal%20populations\Dairy\Dairy_total_Humid_2020.csv" TargetMode="External"/><Relationship Id="rId1" Type="http://schemas.openxmlformats.org/officeDocument/2006/relationships/externalLinkPath" Target="/Users/JHawkins/Documents/Github/KE.beef.spatial/Rasterized%20animal%20populations/Dairy/Dairy_total_Humid_2020.csv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Rasterized%20animal%20populations/Sheep/Sheep_total_Arid_2020.csv" TargetMode="External"/><Relationship Id="rId2" Type="http://schemas.openxmlformats.org/officeDocument/2006/relationships/externalLinkPath" Target="file:///C:\Users\JHawkins\Documents\Github\KE.beef.spatial\Rasterized%20animal%20populations\Sheep\Sheep_total_Arid_2020.csv" TargetMode="External"/><Relationship Id="rId1" Type="http://schemas.openxmlformats.org/officeDocument/2006/relationships/externalLinkPath" Target="/Users/JHawkins/Documents/Github/KE.beef.spatial/Rasterized%20animal%20populations/Sheep/Sheep_total_Arid_2020.csv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Rasterized%20animal%20populations/Sheep/Sheep_total_SArid_2020.csv" TargetMode="External"/><Relationship Id="rId2" Type="http://schemas.openxmlformats.org/officeDocument/2006/relationships/externalLinkPath" Target="file:///C:\Users\JHawkins\Documents\Github\KE.beef.spatial\Rasterized%20animal%20populations\Sheep\Sheep_total_SArid_2020.csv" TargetMode="External"/><Relationship Id="rId1" Type="http://schemas.openxmlformats.org/officeDocument/2006/relationships/externalLinkPath" Target="/Users/JHawkins/Documents/Github/KE.beef.spatial/Rasterized%20animal%20populations/Sheep/Sheep_total_SArid_2020.csv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Rasterized%20animal%20populations/Sheep/Sheep_total_Humid_2020.csv" TargetMode="External"/><Relationship Id="rId2" Type="http://schemas.openxmlformats.org/officeDocument/2006/relationships/externalLinkPath" Target="file:///C:\Users\JHawkins\Documents\Github\KE.beef.spatial\Rasterized%20animal%20populations\Sheep\Sheep_total_Humid_2020.csv" TargetMode="External"/><Relationship Id="rId1" Type="http://schemas.openxmlformats.org/officeDocument/2006/relationships/externalLinkPath" Target="/Users/JHawkins/Documents/Github/KE.beef.spatial/Rasterized%20animal%20populations/Sheep/Sheep_total_Humid_2020.csv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Zebu_2020.csv" TargetMode="External"/><Relationship Id="rId1" Type="http://schemas.openxmlformats.org/officeDocument/2006/relationships/externalLinkPath" Target="2020/Pastoral_Zebu_2020.csv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Pastoral_Boran_2020.csv" TargetMode="External"/><Relationship Id="rId1" Type="http://schemas.openxmlformats.org/officeDocument/2006/relationships/externalLinkPath" Target="2020/Pastoral_Boran_2020.csv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Zebu_2050.csv" TargetMode="External"/><Relationship Id="rId1" Type="http://schemas.openxmlformats.org/officeDocument/2006/relationships/externalLinkPath" Target="2050/Pastoral_Zebu_2050.csv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Pastoral_Boran_2050.csv" TargetMode="External"/><Relationship Id="rId1" Type="http://schemas.openxmlformats.org/officeDocument/2006/relationships/externalLinkPath" Target="2050/Pastoral_Boran_2050.csv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Zebu_2020.csv" TargetMode="External"/><Relationship Id="rId1" Type="http://schemas.openxmlformats.org/officeDocument/2006/relationships/externalLinkPath" Target="2020/Agpastoral_Zebu_2020.csv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Agpastoral_Boran_2020.csv" TargetMode="External"/><Relationship Id="rId1" Type="http://schemas.openxmlformats.org/officeDocument/2006/relationships/externalLinkPath" Target="2020/Agpastoral_Boran_2020.csv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Zebu_2050.csv" TargetMode="External"/><Relationship Id="rId1" Type="http://schemas.openxmlformats.org/officeDocument/2006/relationships/externalLinkPath" Target="2050/Agpastoral_Zebu_2050.csv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Agpastoral_Boran_2050.csv" TargetMode="External"/><Relationship Id="rId1" Type="http://schemas.openxmlformats.org/officeDocument/2006/relationships/externalLinkPath" Target="2050/Agpastoral_Boran_2050.csv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Zebu_2020.csv" TargetMode="External"/><Relationship Id="rId1" Type="http://schemas.openxmlformats.org/officeDocument/2006/relationships/externalLinkPath" Target="2020/Mixed_Zebu_2020.csv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Mixed_Boran_2020.csv" TargetMode="External"/><Relationship Id="rId1" Type="http://schemas.openxmlformats.org/officeDocument/2006/relationships/externalLinkPath" Target="2020/Mixed_Boran_2020.csv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Zebu_2050.csv" TargetMode="External"/><Relationship Id="rId1" Type="http://schemas.openxmlformats.org/officeDocument/2006/relationships/externalLinkPath" Target="2050/Mixed_Zebu_2050.csv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Mixed_Boran_2050.csv" TargetMode="External"/><Relationship Id="rId1" Type="http://schemas.openxmlformats.org/officeDocument/2006/relationships/externalLinkPath" Target="2050/Mixed_Boran_2050.csv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Boran_2020.csv" TargetMode="External"/><Relationship Id="rId1" Type="http://schemas.openxmlformats.org/officeDocument/2006/relationships/externalLinkPath" Target="2020/Cowcalf_Boran_2020.csv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Cowcalf_Exotic_2020.csv" TargetMode="External"/><Relationship Id="rId1" Type="http://schemas.openxmlformats.org/officeDocument/2006/relationships/externalLinkPath" Target="2020/Cowcalf_Exotic_2020.csv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Boran_2050.csv" TargetMode="External"/><Relationship Id="rId1" Type="http://schemas.openxmlformats.org/officeDocument/2006/relationships/externalLinkPath" Target="2050/Cowcalf_Boran_2050.csv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Cowcalf_Exotic_2050.csv" TargetMode="External"/><Relationship Id="rId1" Type="http://schemas.openxmlformats.org/officeDocument/2006/relationships/externalLinkPath" Target="2050/Cowcalf_Exotic_2050.csv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Boran_2020.csv" TargetMode="External"/><Relationship Id="rId1" Type="http://schemas.openxmlformats.org/officeDocument/2006/relationships/externalLinkPath" Target="2020/Finisher_Boran_2020.csv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20\Finisher_Exotic_2020.csv" TargetMode="External"/><Relationship Id="rId1" Type="http://schemas.openxmlformats.org/officeDocument/2006/relationships/externalLinkPath" Target="2020/Finisher_Exotic_2020.csv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Boran_2050.csv" TargetMode="External"/><Relationship Id="rId1" Type="http://schemas.openxmlformats.org/officeDocument/2006/relationships/externalLinkPath" Target="2050/Finisher_Boran_2050.csv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awkins\Documents\Github\KE.beef.spatial\Rasterized%20animal%20populations\Zonal%20statistics\2050\Finisher_Exotic_2050.csv" TargetMode="External"/><Relationship Id="rId1" Type="http://schemas.openxmlformats.org/officeDocument/2006/relationships/externalLinkPath" Target="2050/Finisher_Exotic_2050.csv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Grassland_Arid.csv" TargetMode="External"/><Relationship Id="rId2" Type="http://schemas.openxmlformats.org/officeDocument/2006/relationships/externalLinkPath" Target="file:///C:\Users\JHawkins\Documents\Github\KE.beef.spatial\ZS_Grassland_Arid.csv" TargetMode="External"/><Relationship Id="rId1" Type="http://schemas.openxmlformats.org/officeDocument/2006/relationships/externalLinkPath" Target="/Users/JHawkins/Documents/Github/KE.beef.spatial/ZS_Grassland_Arid.csv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Grassland_SArid.csv" TargetMode="External"/><Relationship Id="rId2" Type="http://schemas.openxmlformats.org/officeDocument/2006/relationships/externalLinkPath" Target="file:///C:\Users\JHawkins\Documents\Github\KE.beef.spatial\ZS_Grassland_SArid.csv" TargetMode="External"/><Relationship Id="rId1" Type="http://schemas.openxmlformats.org/officeDocument/2006/relationships/externalLinkPath" Target="/Users/JHawkins/Documents/Github/KE.beef.spatial/ZS_Grassland_SArid.csv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Grassland_Humid.csv" TargetMode="External"/><Relationship Id="rId2" Type="http://schemas.openxmlformats.org/officeDocument/2006/relationships/externalLinkPath" Target="file:///C:\Users\JHawkins\Documents\Github\KE.beef.spatial\ZS_Grassland_Humid.csv" TargetMode="External"/><Relationship Id="rId1" Type="http://schemas.openxmlformats.org/officeDocument/2006/relationships/externalLinkPath" Target="/Users/JHawkins/Documents/Github/KE.beef.spatial/ZS_Grassland_Humid.csv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Cropland_Arid.csv" TargetMode="External"/><Relationship Id="rId2" Type="http://schemas.openxmlformats.org/officeDocument/2006/relationships/externalLinkPath" Target="file:///C:\Users\JHawkins\Documents\Github\KE.beef.spatial\ZS_Cropland_Arid.csv" TargetMode="External"/><Relationship Id="rId1" Type="http://schemas.openxmlformats.org/officeDocument/2006/relationships/externalLinkPath" Target="/Users/JHawkins/Documents/Github/KE.beef.spatial/ZS_Cropland_Arid.csv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Cropland_SArid.csv" TargetMode="External"/><Relationship Id="rId2" Type="http://schemas.openxmlformats.org/officeDocument/2006/relationships/externalLinkPath" Target="file:///C:\Users\JHawkins\Documents\Github\KE.beef.spatial\ZS_Cropland_SArid.csv" TargetMode="External"/><Relationship Id="rId1" Type="http://schemas.openxmlformats.org/officeDocument/2006/relationships/externalLinkPath" Target="/Users/JHawkins/Documents/Github/KE.beef.spatial/ZS_Cropland_SArid.csv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Cropland_Humid.csv" TargetMode="External"/><Relationship Id="rId2" Type="http://schemas.openxmlformats.org/officeDocument/2006/relationships/externalLinkPath" Target="file:///C:\Users\JHawkins\Documents\Github\KE.beef.spatial\ZS_Cropland_Humid.csv" TargetMode="External"/><Relationship Id="rId1" Type="http://schemas.openxmlformats.org/officeDocument/2006/relationships/externalLinkPath" Target="/Users/JHawkins/Documents/Github/KE.beef.spatial/ZS_Cropland_Humid.csv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Shrubland_Arid.csv" TargetMode="External"/><Relationship Id="rId2" Type="http://schemas.openxmlformats.org/officeDocument/2006/relationships/externalLinkPath" Target="file:///C:\Users\JHawkins\Documents\Github\KE.beef.spatial\ZS_Shrubland_Arid.csv" TargetMode="External"/><Relationship Id="rId1" Type="http://schemas.openxmlformats.org/officeDocument/2006/relationships/externalLinkPath" Target="/Users/JHawkins/Documents/Github/KE.beef.spatial/ZS_Shrubland_Arid.csv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Shrubland_SArid.csv" TargetMode="External"/><Relationship Id="rId2" Type="http://schemas.openxmlformats.org/officeDocument/2006/relationships/externalLinkPath" Target="file:///C:\Users\JHawkins\Documents\Github\KE.beef.spatial\ZS_Shrubland_SArid.csv" TargetMode="External"/><Relationship Id="rId1" Type="http://schemas.openxmlformats.org/officeDocument/2006/relationships/externalLinkPath" Target="/Users/JHawkins/Documents/Github/KE.beef.spatial/ZS_Shrubland_SArid.csv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ZS_Shrubland_Humid.csv" TargetMode="External"/><Relationship Id="rId2" Type="http://schemas.openxmlformats.org/officeDocument/2006/relationships/externalLinkPath" Target="file:///C:\Users\JHawkins\Documents\Github\KE.beef.spatial\ZS_Shrubland_Humid.csv" TargetMode="External"/><Relationship Id="rId1" Type="http://schemas.openxmlformats.org/officeDocument/2006/relationships/externalLinkPath" Target="/Users/JHawkins/Documents/Github/KE.beef.spatial/ZS_Shrubland_Humid.csv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GRASS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Arid.csv" TargetMode="External"/><Relationship Id="rId1" Type="http://schemas.openxmlformats.org/officeDocument/2006/relationships/externalLinkPath" Target="/Users/JHawkins/Documents/Github/KE.beef.spatial/MODIS%20NPP%20-%20Summary/Land%20use%20specific%20NPP/NPP_2020_GRASS_Arid.csv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GRASS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GRASS_SArid.csv" TargetMode="External"/><Relationship Id="rId1" Type="http://schemas.openxmlformats.org/officeDocument/2006/relationships/externalLinkPath" Target="/Users/JHawkins/Documents/Github/KE.beef.spatial/MODIS%20NPP%20-%20Summary/Land%20use%20specific%20NPP/NPP_2020_GRASS_SArid.csv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GRASS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GRASS_Humid.xlsx" TargetMode="External"/><Relationship Id="rId1" Type="http://schemas.openxmlformats.org/officeDocument/2006/relationships/externalLinkPath" Target="/Users/JHawkins/Documents/Github/KE.beef.spatial/MODIS%20NPP%20-%20Summary/Land%20use%20specific%20NPP/NPP_2020_GRASS_Humid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CROP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Arid.csv" TargetMode="External"/><Relationship Id="rId1" Type="http://schemas.openxmlformats.org/officeDocument/2006/relationships/externalLinkPath" Target="/Users/JHawkins/Documents/Github/KE.beef.spatial/MODIS%20NPP%20-%20Summary/Land%20use%20specific%20NPP/NPP_2020_CROP_Arid.csv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CROP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CROP_SArid.csv" TargetMode="External"/><Relationship Id="rId1" Type="http://schemas.openxmlformats.org/officeDocument/2006/relationships/externalLinkPath" Target="/Users/JHawkins/Documents/Github/KE.beef.spatial/MODIS%20NPP%20-%20Summary/Land%20use%20specific%20NPP/NPP_2020_CROP_SArid.csv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CROP_Humid.xlsx" TargetMode="External"/><Relationship Id="rId2" Type="http://schemas.openxmlformats.org/officeDocument/2006/relationships/externalLinkPath" Target="file:///C:\Users\JHawkins\Documents\Github\KE.beef.spatial\MODIS%20NPP%20-%20Summary\Land%20use%20specific%20NPP\NPP_2020_CROP_Humid.xlsx" TargetMode="External"/><Relationship Id="rId1" Type="http://schemas.openxmlformats.org/officeDocument/2006/relationships/externalLinkPath" Target="/Users/JHawkins/Documents/Github/KE.beef.spatial/MODIS%20NPP%20-%20Summary/Land%20use%20specific%20NPP/NPP_2020_CROP_Humid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SHRUB_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Arid.csv" TargetMode="External"/><Relationship Id="rId1" Type="http://schemas.openxmlformats.org/officeDocument/2006/relationships/externalLinkPath" Target="/Users/JHawkins/Documents/Github/KE.beef.spatial/MODIS%20NPP%20-%20Summary/Land%20use%20specific%20NPP/NPP_2020_SHRUB_Arid.csv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SHRUB_SAr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SArid.csv" TargetMode="External"/><Relationship Id="rId1" Type="http://schemas.openxmlformats.org/officeDocument/2006/relationships/externalLinkPath" Target="/Users/JHawkins/Documents/Github/KE.beef.spatial/MODIS%20NPP%20-%20Summary/Land%20use%20specific%20NPP/NPP_2020_SHRUB_SArid.csv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NPP_2020_SHRUB_Humid.csv" TargetMode="External"/><Relationship Id="rId2" Type="http://schemas.openxmlformats.org/officeDocument/2006/relationships/externalLinkPath" Target="file:///C:\Users\JHawkins\Documents\Github\KE.beef.spatial\MODIS%20NPP%20-%20Summary\Land%20use%20specific%20NPP\NPP_2020_SHRUB_Humid.csv" TargetMode="External"/><Relationship Id="rId1" Type="http://schemas.openxmlformats.org/officeDocument/2006/relationships/externalLinkPath" Target="/Users/JHawkins/Documents/Github/KE.beef.spatial/MODIS%20NPP%20-%20Summary/Land%20use%20specific%20NPP/NPP_2020_SHRUB_Humid.csv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Arid.csv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GRASS_SArid.csv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GRASS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GRASS_Humid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Arid.csv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CROP_SArid.csv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CROP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CROP_Humi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Arid.csv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SArid.csv" TargetMode="External"/><Relationship Id="rId1" Type="http://schemas.openxmlformats.org/officeDocument/2006/relationships/externalLinkPath" Target="/Users/JHawkins/Documents/Github/KE.beef.spatial/MODIS%20NPP%20-%20Summary/Land%20use%20specific%20NPP/2050/R4/NPP_2050_R4_SHRUB_SArid.csv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4/NPP_2050_R4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4\NPP_2050_R4_SHRUB_Humid.xlsx" TargetMode="External"/><Relationship Id="rId1" Type="http://schemas.openxmlformats.org/officeDocument/2006/relationships/externalLinkPath" Target="/Users/JHawkins/Documents/Github/KE.beef.spatial/MODIS%20NPP%20-%20Summary/Land%20use%20specific%20NPP/2050/R4/NPP_2050_R4_SHRUB_Humid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GRASS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Arid.csv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GRASS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GRASS_SArid.csv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GRASS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GRASS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GRASS_Humid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CROP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Arid.csv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CROP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CROP_SArid.csv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CROP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CROP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CROP_Humid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SHRUB_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Arid.csv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SHRUB_SArid.csv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SArid.csv" TargetMode="External"/><Relationship Id="rId1" Type="http://schemas.openxmlformats.org/officeDocument/2006/relationships/externalLinkPath" Target="/Users/JHawkins/Documents/Github/KE.beef.spatial/MODIS%20NPP%20-%20Summary/Land%20use%20specific%20NPP/2050/R8/NPP_2050_R8_SHRUB_SArid.csv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MODIS%20NPP%20-%20Summary/Land%20use%20specific%20NPP/2050/R8/NPP_2050_R8_SHRUB_Humid.xlsx" TargetMode="External"/><Relationship Id="rId2" Type="http://schemas.openxmlformats.org/officeDocument/2006/relationships/externalLinkPath" Target="file:///C:\Users\JHawkins\Documents\Github\KE.beef.spatial\MODIS%20NPP%20-%20Summary\Land%20use%20specific%20NPP\2050\R8\NPP_2050_R8_SHRUB_Humid.xlsx" TargetMode="External"/><Relationship Id="rId1" Type="http://schemas.openxmlformats.org/officeDocument/2006/relationships/externalLinkPath" Target="/Users/JHawkins/Documents/Github/KE.beef.spatial/MODIS%20NPP%20-%20Summary/Land%20use%20specific%20NPP/2050/R8/NPP_2050_R8_SHRUB_Humid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JHawkins/Documents/Github/KE.beef.spatial/Raster.logic.xlsx" TargetMode="External"/><Relationship Id="rId2" Type="http://schemas.openxmlformats.org/officeDocument/2006/relationships/externalLinkPath" Target="file:///C:\Users\JHawkins\Documents\Github\KE.beef.spatial\Raster.logic.xlsx" TargetMode="External"/><Relationship Id="rId1" Type="http://schemas.openxmlformats.org/officeDocument/2006/relationships/externalLinkPath" Target="/Users/JHawkins/Documents/Github/KE.beef.spatial/Raster.log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F36">
            <v>0.36159600997506236</v>
          </cell>
          <cell r="G36">
            <v>2.7950424483806726</v>
          </cell>
        </row>
        <row r="37">
          <cell r="F37">
            <v>2.4937655860349127E-3</v>
          </cell>
          <cell r="G37">
            <v>86.466565349544069</v>
          </cell>
        </row>
        <row r="38">
          <cell r="F38">
            <v>4.9875311720698257E-2</v>
          </cell>
          <cell r="G38">
            <v>1.0372340425531916</v>
          </cell>
        </row>
        <row r="39">
          <cell r="F39">
            <v>4.9875311720698257E-2</v>
          </cell>
          <cell r="G39">
            <v>7.6101823708206684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Subsistence"/>
    </sheetNames>
    <sheetDataSet>
      <sheetData sheetId="0" refreshError="1">
        <row r="2">
          <cell r="C2">
            <v>220785.65217611199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Subsistence"/>
    </sheetNames>
    <sheetDataSet>
      <sheetData sheetId="0" refreshError="1">
        <row r="2">
          <cell r="C2">
            <v>467695.362210333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Subsistence"/>
    </sheetNames>
    <sheetDataSet>
      <sheetData sheetId="0" refreshError="1">
        <row r="2">
          <cell r="D2">
            <v>589697.33266333945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id_Commercial"/>
    </sheetNames>
    <sheetDataSet>
      <sheetData sheetId="0" refreshError="1">
        <row r="2">
          <cell r="C2">
            <v>4580694.9930214901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rid_Commercial"/>
    </sheetNames>
    <sheetDataSet>
      <sheetData sheetId="0" refreshError="1">
        <row r="2">
          <cell r="C2">
            <v>5931614.2707009297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umid_Commercial"/>
    </sheetNames>
    <sheetDataSet>
      <sheetData sheetId="0" refreshError="1">
        <row r="2">
          <cell r="D2">
            <v>4968107.5438200859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Arid_2020"/>
    </sheetNames>
    <sheetDataSet>
      <sheetData sheetId="0" refreshError="1">
        <row r="2">
          <cell r="C2">
            <v>24812.591756207301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SArid_2020"/>
    </sheetNames>
    <sheetDataSet>
      <sheetData sheetId="0" refreshError="1">
        <row r="2">
          <cell r="C2">
            <v>1210306.62197518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ry_total_Humid_2020"/>
    </sheetNames>
    <sheetDataSet>
      <sheetData sheetId="0" refreshError="1">
        <row r="2">
          <cell r="D2">
            <v>5233916.3978957208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Arid_2020"/>
    </sheetNames>
    <sheetDataSet>
      <sheetData sheetId="0" refreshError="1">
        <row r="2">
          <cell r="C2">
            <v>1300620.48691654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SArid_2020"/>
    </sheetNames>
    <sheetDataSet>
      <sheetData sheetId="0" refreshError="1">
        <row r="2">
          <cell r="C2">
            <v>1063972.5190212701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p_total_Humid_2020"/>
    </sheetNames>
    <sheetDataSet>
      <sheetData sheetId="0" refreshError="1">
        <row r="2">
          <cell r="D2">
            <v>1001433.3524225579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20"/>
    </sheetNames>
    <sheetDataSet>
      <sheetData sheetId="0">
        <row r="2">
          <cell r="K2">
            <v>7912803.5780913802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20"/>
    </sheetNames>
    <sheetDataSet>
      <sheetData sheetId="0" refreshError="1">
        <row r="2">
          <cell r="K2">
            <v>1124203.7226895699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Zebu_2050"/>
    </sheetNames>
    <sheetDataSet>
      <sheetData sheetId="0">
        <row r="2">
          <cell r="K2">
            <v>8554757.4814370908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storal_Boran_2050"/>
    </sheetNames>
    <sheetDataSet>
      <sheetData sheetId="0">
        <row r="2">
          <cell r="K2">
            <v>1215408.67359516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20"/>
    </sheetNames>
    <sheetDataSet>
      <sheetData sheetId="0">
        <row r="2">
          <cell r="K2">
            <v>3685141.0110471202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20"/>
    </sheetNames>
    <sheetDataSet>
      <sheetData sheetId="0">
        <row r="2">
          <cell r="K2">
            <v>277376.20390618598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Zebu_2050"/>
    </sheetNames>
    <sheetDataSet>
      <sheetData sheetId="0">
        <row r="2">
          <cell r="K2">
            <v>6488770.1197828101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pastoral_Boran_2050"/>
    </sheetNames>
    <sheetDataSet>
      <sheetData sheetId="0">
        <row r="2">
          <cell r="K2">
            <v>488402.05019366002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20"/>
    </sheetNames>
    <sheetDataSet>
      <sheetData sheetId="0">
        <row r="2">
          <cell r="K2">
            <v>298374.71550379699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20"/>
    </sheetNames>
    <sheetDataSet>
      <sheetData sheetId="0">
        <row r="2">
          <cell r="K2">
            <v>25945.627401560501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Zebu_2050"/>
    </sheetNames>
    <sheetDataSet>
      <sheetData sheetId="0">
        <row r="2">
          <cell r="K2">
            <v>404262.59496554697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ixed_Boran_2050"/>
    </sheetNames>
    <sheetDataSet>
      <sheetData sheetId="0">
        <row r="2">
          <cell r="K2">
            <v>35153.269665965803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20"/>
    </sheetNames>
    <sheetDataSet>
      <sheetData sheetId="0">
        <row r="2">
          <cell r="K2">
            <v>1184753.34766715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20"/>
    </sheetNames>
    <sheetDataSet>
      <sheetData sheetId="0">
        <row r="2">
          <cell r="K2">
            <v>985977.36353097099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Boran_2050"/>
    </sheetNames>
    <sheetDataSet>
      <sheetData sheetId="0">
        <row r="2">
          <cell r="K2">
            <v>1806208.69891036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wcalf_Exotic_2050"/>
    </sheetNames>
    <sheetDataSet>
      <sheetData sheetId="0">
        <row r="2">
          <cell r="K2">
            <v>1503165.94333724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20"/>
    </sheetNames>
    <sheetDataSet>
      <sheetData sheetId="0">
        <row r="2">
          <cell r="K2">
            <v>26321.876059999999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20"/>
    </sheetNames>
    <sheetDataSet>
      <sheetData sheetId="0">
        <row r="2">
          <cell r="K2">
            <v>12386.7653238613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Boran_2050"/>
    </sheetNames>
    <sheetDataSet>
      <sheetData sheetId="0">
        <row r="2">
          <cell r="K2">
            <v>918345.45531155204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isher_Exotic_2050"/>
    </sheetNames>
    <sheetDataSet>
      <sheetData sheetId="0">
        <row r="2">
          <cell r="K2">
            <v>432162.57168335503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Arid"/>
    </sheetNames>
    <sheetDataSet>
      <sheetData sheetId="0" refreshError="1">
        <row r="2">
          <cell r="D2">
            <v>202419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SArid"/>
    </sheetNames>
    <sheetDataSet>
      <sheetData sheetId="0">
        <row r="2">
          <cell r="D2">
            <v>129806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Grassland_Humid"/>
    </sheetNames>
    <sheetDataSet>
      <sheetData sheetId="0">
        <row r="2">
          <cell r="E2">
            <v>64439.636684333513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Arid"/>
    </sheetNames>
    <sheetDataSet>
      <sheetData sheetId="0">
        <row r="2">
          <cell r="D2">
            <v>524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SArid"/>
    </sheetNames>
    <sheetDataSet>
      <sheetData sheetId="0">
        <row r="2">
          <cell r="D2">
            <v>19552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Cropland_Humid"/>
    </sheetNames>
    <sheetDataSet>
      <sheetData sheetId="0">
        <row r="2">
          <cell r="E2">
            <v>27078.877240262751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Arid"/>
    </sheetNames>
    <sheetDataSet>
      <sheetData sheetId="0">
        <row r="2">
          <cell r="D2">
            <v>277889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SArid"/>
    </sheetNames>
    <sheetDataSet>
      <sheetData sheetId="0">
        <row r="2">
          <cell r="D2">
            <v>357491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S_Shrubland_Humid"/>
    </sheetNames>
    <sheetDataSet>
      <sheetData sheetId="0">
        <row r="2">
          <cell r="E2">
            <v>63327.68656939434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Arid"/>
    </sheetNames>
    <sheetDataSet>
      <sheetData sheetId="0">
        <row r="2">
          <cell r="E2">
            <v>0.33293323112310402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SArid"/>
    </sheetNames>
    <sheetDataSet>
      <sheetData sheetId="0">
        <row r="2">
          <cell r="E2">
            <v>0.48080803465972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GRASS_Humid"/>
      <sheetName val="filtered"/>
    </sheetNames>
    <sheetDataSet>
      <sheetData sheetId="0" refreshError="1"/>
      <sheetData sheetId="1">
        <row r="2">
          <cell r="F2">
            <v>0.88607168377191448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Arid"/>
    </sheetNames>
    <sheetDataSet>
      <sheetData sheetId="0">
        <row r="2">
          <cell r="E2">
            <v>0.97599038751874501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SArid"/>
    </sheetNames>
    <sheetDataSet>
      <sheetData sheetId="0">
        <row r="2">
          <cell r="E2">
            <v>0.71416468993051396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CROP_Humid"/>
      <sheetName val="filtered"/>
    </sheetNames>
    <sheetDataSet>
      <sheetData sheetId="0"/>
      <sheetData sheetId="1">
        <row r="2">
          <cell r="F2">
            <v>1.0193612610195171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Arid"/>
    </sheetNames>
    <sheetDataSet>
      <sheetData sheetId="0">
        <row r="2">
          <cell r="E2">
            <v>0.20100553202445001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SArid"/>
    </sheetNames>
    <sheetDataSet>
      <sheetData sheetId="0">
        <row r="2">
          <cell r="E2">
            <v>0.48842843619779902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20_SHRUB_Humid"/>
      <sheetName val="filtered"/>
    </sheetNames>
    <sheetDataSet>
      <sheetData sheetId="0" refreshError="1"/>
      <sheetData sheetId="1">
        <row r="2">
          <cell r="F2">
            <v>0.9284507277249876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Arid"/>
    </sheetNames>
    <sheetDataSet>
      <sheetData sheetId="0">
        <row r="2">
          <cell r="E2">
            <v>0.36084903504638699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GRASS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Arid"/>
    </sheetNames>
    <sheetDataSet>
      <sheetData sheetId="0">
        <row r="2">
          <cell r="E2">
            <v>1.0384816436740301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SArid"/>
    </sheetNames>
    <sheetDataSet>
      <sheetData sheetId="0">
        <row r="2">
          <cell r="E2">
            <v>0.72447113600000002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CROP_Humid"/>
      <sheetName val="filtered"/>
    </sheetNames>
    <sheetDataSet>
      <sheetData sheetId="0" refreshError="1"/>
      <sheetData sheetId="1">
        <row r="2">
          <cell r="F2">
            <v>0.98649141647533578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Arid"/>
    </sheetNames>
    <sheetDataSet>
      <sheetData sheetId="0">
        <row r="2">
          <cell r="E2">
            <v>0.21776707800273001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SArid"/>
    </sheetNames>
    <sheetDataSet>
      <sheetData sheetId="0">
        <row r="2">
          <cell r="E2">
            <v>0.51075241024303597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4_SHRUB_Humid"/>
      <sheetName val="filtered"/>
    </sheetNames>
    <sheetDataSet>
      <sheetData sheetId="0" refreshError="1"/>
      <sheetData sheetId="1">
        <row r="2">
          <cell r="F2">
            <v>0.90483097904137921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Arid"/>
    </sheetNames>
    <sheetDataSet>
      <sheetData sheetId="0">
        <row r="2">
          <cell r="E2">
            <v>0.38422689204237098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SArid"/>
    </sheetNames>
    <sheetDataSet>
      <sheetData sheetId="0">
        <row r="2">
          <cell r="E2">
            <v>0.51337712420869996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GRASS_Humid"/>
      <sheetName val="filtered"/>
    </sheetNames>
    <sheetDataSet>
      <sheetData sheetId="0"/>
      <sheetData sheetId="1">
        <row r="2">
          <cell r="F2">
            <v>0.88457459938562355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Arid"/>
    </sheetNames>
    <sheetDataSet>
      <sheetData sheetId="0">
        <row r="2">
          <cell r="E2">
            <v>1.10532849796393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SArid"/>
    </sheetNames>
    <sheetDataSet>
      <sheetData sheetId="0">
        <row r="2">
          <cell r="E2">
            <v>0.80695680840268103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CROP_Humid"/>
      <sheetName val="filtered"/>
    </sheetNames>
    <sheetDataSet>
      <sheetData sheetId="0"/>
      <sheetData sheetId="1">
        <row r="2">
          <cell r="F2">
            <v>1.0242825546815273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Arid"/>
    </sheetNames>
    <sheetDataSet>
      <sheetData sheetId="0">
        <row r="2">
          <cell r="E2">
            <v>0.231319877140652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SArid"/>
    </sheetNames>
    <sheetDataSet>
      <sheetData sheetId="0">
        <row r="2">
          <cell r="E2">
            <v>0.51046846997934603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PP_2050_R8_SHRUB_Humid"/>
      <sheetName val="filtered"/>
    </sheetNames>
    <sheetDataSet>
      <sheetData sheetId="0"/>
      <sheetData sheetId="1">
        <row r="2">
          <cell r="F2">
            <v>0.93416975929597834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aster_logic"/>
    </sheetNames>
    <sheetDataSet>
      <sheetData sheetId="0">
        <row r="79">
          <cell r="I79">
            <v>0.5</v>
          </cell>
        </row>
        <row r="80">
          <cell r="I80">
            <v>0.44</v>
          </cell>
        </row>
        <row r="81">
          <cell r="I81">
            <v>0.3</v>
          </cell>
        </row>
        <row r="84">
          <cell r="I84">
            <v>0.34</v>
          </cell>
        </row>
        <row r="85">
          <cell r="I85">
            <v>0.4</v>
          </cell>
        </row>
        <row r="86">
          <cell r="I86">
            <v>0.85</v>
          </cell>
        </row>
        <row r="87">
          <cell r="I87">
            <v>0.4</v>
          </cell>
        </row>
        <row r="88">
          <cell r="I88">
            <v>0.5</v>
          </cell>
        </row>
        <row r="89">
          <cell r="I89">
            <v>0.5</v>
          </cell>
        </row>
        <row r="91">
          <cell r="I91">
            <v>0.4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mes Hawkins" id="{94C87838-5F63-4687-96E8-E5DFC56D834F}" userId="bb158497c03b684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1" dT="2026-06-15T04:34:52.86" personId="{94C87838-5F63-4687-96E8-E5DFC56D834F}" id="{0B974C83-E393-4D24-9238-9ECDE1F8DB25}">
    <text>https://gemini.google.com/app/cb2f8387004cee95
Total boran should be 1 to 1.5 M</text>
    <extLst>
      <x:ext xmlns:xltc2="http://schemas.microsoft.com/office/spreadsheetml/2020/threadedcomments2" uri="{F7C98A9C-CBB3-438F-8F68-D28B6AF4A901}">
        <xltc2:checksum>914658385</xltc2:checksum>
        <xltc2:hyperlink startIndex="0" length="46" url="https://gemini.google.com/app/cb2f8387004cee95"/>
      </x:ext>
    </extLs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8038-24E0-4487-8E9E-ADD8D4CE8257}">
  <dimension ref="A1:H8"/>
  <sheetViews>
    <sheetView workbookViewId="0">
      <selection activeCell="G7" sqref="G7"/>
    </sheetView>
  </sheetViews>
  <sheetFormatPr defaultRowHeight="14.4" x14ac:dyDescent="0.55000000000000004"/>
  <sheetData>
    <row r="1" spans="1:8" x14ac:dyDescent="0.55000000000000004">
      <c r="B1" t="s">
        <v>3</v>
      </c>
      <c r="C1" s="6" t="s">
        <v>43</v>
      </c>
      <c r="D1" t="s">
        <v>50</v>
      </c>
      <c r="E1" t="s">
        <v>52</v>
      </c>
      <c r="F1" s="6" t="s">
        <v>53</v>
      </c>
      <c r="G1" t="s">
        <v>51</v>
      </c>
      <c r="H1" t="s">
        <v>44</v>
      </c>
    </row>
    <row r="2" spans="1:8" x14ac:dyDescent="0.55000000000000004">
      <c r="A2" t="s">
        <v>13</v>
      </c>
      <c r="B2">
        <f>Herd_decision_tree!E10</f>
        <v>8.7399497472081507</v>
      </c>
      <c r="C2" s="6">
        <f>B2/$B$8</f>
        <v>0.51509165724121797</v>
      </c>
      <c r="D2">
        <f>[1]FAO_2019_animal_trends!$F$35</f>
        <v>0.53615960099750615</v>
      </c>
      <c r="E2">
        <f>D2/D$8</f>
        <v>0.53615960099750626</v>
      </c>
      <c r="F2" s="6">
        <f>E2-5*G2*E2*0.96/100</f>
        <v>0.52629975213940838</v>
      </c>
      <c r="G2">
        <f>[1]FAO_2019_animal_trends!$G$35</f>
        <v>0.38312009613345605</v>
      </c>
      <c r="H2">
        <f>ABS(F2-C2)</f>
        <v>1.1208094898190413E-2</v>
      </c>
    </row>
    <row r="3" spans="1:8" x14ac:dyDescent="0.55000000000000004">
      <c r="A3" t="s">
        <v>16</v>
      </c>
      <c r="B3">
        <f>Herd_decision_tree!E14</f>
        <v>5.6569556217364063</v>
      </c>
      <c r="C3" s="6">
        <f t="shared" ref="C3:C6" si="0">B3/$B$8</f>
        <v>0.33339443937546859</v>
      </c>
      <c r="D3">
        <f>[1]FAO_2019_animal_trends!$F$36</f>
        <v>0.36159600997506236</v>
      </c>
      <c r="E3">
        <f t="shared" ref="E3:E6" si="1">D3/D$8</f>
        <v>0.36159600997506242</v>
      </c>
      <c r="F3" s="6">
        <f>E3-5*G3*E3*0.95/100</f>
        <v>0.31358889061540685</v>
      </c>
      <c r="G3">
        <f>[1]FAO_2019_animal_trends!$G$36</f>
        <v>2.7950424483806726</v>
      </c>
      <c r="H3">
        <f>ABS(F3-C3)</f>
        <v>1.9805548760061742E-2</v>
      </c>
    </row>
    <row r="4" spans="1:8" x14ac:dyDescent="0.55000000000000004">
      <c r="A4" t="s">
        <v>11</v>
      </c>
      <c r="B4">
        <f>Herd_decision_tree!E18</f>
        <v>0.97312806514575934</v>
      </c>
      <c r="C4" s="6">
        <f t="shared" si="0"/>
        <v>5.7351605247385556E-2</v>
      </c>
      <c r="D4">
        <f>[1]FAO_2019_animal_trends!$F$39</f>
        <v>4.9875311720698257E-2</v>
      </c>
      <c r="E4">
        <f t="shared" si="1"/>
        <v>4.9875311720698264E-2</v>
      </c>
      <c r="F4" s="6">
        <f t="shared" ref="F4:F6" si="2">E4-5*G4*E4*0.95/100</f>
        <v>4.6666186084097429E-2</v>
      </c>
      <c r="G4">
        <f>[1]FAO_2019_animal_trends!$G$40</f>
        <v>1.354588821344141</v>
      </c>
      <c r="H4">
        <f t="shared" ref="H4:H6" si="3">ABS(F4-C4)</f>
        <v>1.0685419163288128E-2</v>
      </c>
    </row>
    <row r="5" spans="1:8" x14ac:dyDescent="0.55000000000000004">
      <c r="A5" t="s">
        <v>42</v>
      </c>
      <c r="B5">
        <f>Herd_decision_tree!E29</f>
        <v>0.86453439579881786</v>
      </c>
      <c r="C5" s="6">
        <f t="shared" si="0"/>
        <v>5.0951603562285619E-2</v>
      </c>
      <c r="D5">
        <f>[1]FAO_2019_animal_trends!$F$38</f>
        <v>4.9875311720698257E-2</v>
      </c>
      <c r="E5">
        <f t="shared" si="1"/>
        <v>4.9875311720698264E-2</v>
      </c>
      <c r="F5" s="6">
        <f t="shared" si="2"/>
        <v>4.7418024088714393E-2</v>
      </c>
      <c r="G5">
        <f>[1]FAO_2019_animal_trends!$G$38</f>
        <v>1.0372340425531916</v>
      </c>
      <c r="H5">
        <f t="shared" si="3"/>
        <v>3.5335794735712259E-3</v>
      </c>
    </row>
    <row r="6" spans="1:8" x14ac:dyDescent="0.55000000000000004">
      <c r="A6" t="s">
        <v>23</v>
      </c>
      <c r="B6">
        <f>Herd_decision_tree!E25</f>
        <v>0.73318853801341277</v>
      </c>
      <c r="C6" s="6">
        <f t="shared" si="0"/>
        <v>4.3210694573642398E-2</v>
      </c>
      <c r="D6">
        <f>[1]FAO_2019_animal_trends!$F$37</f>
        <v>2.4937655860349127E-3</v>
      </c>
      <c r="E6">
        <f t="shared" si="1"/>
        <v>2.4937655860349131E-3</v>
      </c>
      <c r="F6" s="6">
        <f t="shared" si="2"/>
        <v>-7.7485333020033496E-3</v>
      </c>
      <c r="G6">
        <f>[1]FAO_2019_animal_trends!$G$37</f>
        <v>86.466565349544069</v>
      </c>
      <c r="H6">
        <f t="shared" si="3"/>
        <v>5.0959227875645746E-2</v>
      </c>
    </row>
    <row r="7" spans="1:8" x14ac:dyDescent="0.55000000000000004">
      <c r="A7" t="s">
        <v>83</v>
      </c>
      <c r="C7" s="6"/>
      <c r="F7" s="6"/>
      <c r="G7">
        <f>76.3/(2012-1978.5)</f>
        <v>2.2776119402985073</v>
      </c>
    </row>
    <row r="8" spans="1:8" x14ac:dyDescent="0.55000000000000004">
      <c r="B8">
        <f>SUM(B2:B6)</f>
        <v>16.967756367902545</v>
      </c>
      <c r="D8">
        <f>SUM(D2:D6)</f>
        <v>0.99999999999999989</v>
      </c>
      <c r="H8">
        <f>SUM(H2:H6)</f>
        <v>9.6191870170757254E-2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56320-BEC2-4269-9329-43A80C09A702}">
  <dimension ref="A1:K53"/>
  <sheetViews>
    <sheetView topLeftCell="A17" workbookViewId="0">
      <selection activeCell="D15" sqref="D15"/>
    </sheetView>
  </sheetViews>
  <sheetFormatPr defaultRowHeight="14.4" x14ac:dyDescent="0.55000000000000004"/>
  <cols>
    <col min="1" max="1" width="18.578125" customWidth="1"/>
    <col min="2" max="2" width="17.83984375" bestFit="1" customWidth="1"/>
    <col min="3" max="3" width="16.68359375" bestFit="1" customWidth="1"/>
    <col min="4" max="4" width="15.26171875" bestFit="1" customWidth="1"/>
    <col min="5" max="5" width="16.26171875" bestFit="1" customWidth="1"/>
    <col min="7" max="7" width="28.41796875" customWidth="1"/>
    <col min="8" max="8" width="31.68359375" customWidth="1"/>
  </cols>
  <sheetData>
    <row r="1" spans="1:11" x14ac:dyDescent="0.55000000000000004">
      <c r="A1" s="3"/>
      <c r="B1" s="2" t="s">
        <v>0</v>
      </c>
      <c r="C1" s="2" t="s">
        <v>1</v>
      </c>
      <c r="D1" s="2" t="s">
        <v>2</v>
      </c>
      <c r="E1" s="2" t="s">
        <v>30</v>
      </c>
      <c r="G1" s="1" t="s">
        <v>4</v>
      </c>
      <c r="K1" s="1" t="s">
        <v>34</v>
      </c>
    </row>
    <row r="2" spans="1:11" x14ac:dyDescent="0.55000000000000004">
      <c r="A2" s="2" t="s">
        <v>79</v>
      </c>
      <c r="B2" s="8">
        <f>[2]Arid_Subsistence!$C$2/1000000*$H$18</f>
        <v>0.27598206522013996</v>
      </c>
      <c r="C2" s="8">
        <f>[3]SArid_Subsistence!$C$2/1000000*$H$18</f>
        <v>0.58461920276291623</v>
      </c>
      <c r="D2" s="8">
        <f>[4]Humid_Subsistence!$D$2/1000000*$H$18</f>
        <v>0.73712166582917438</v>
      </c>
      <c r="E2" s="9">
        <f>SUM(B2:D2)</f>
        <v>1.5977229338122305</v>
      </c>
      <c r="G2" t="s">
        <v>7</v>
      </c>
      <c r="H2" t="s">
        <v>5</v>
      </c>
      <c r="I2">
        <v>3.5000000000000003E-2</v>
      </c>
      <c r="K2" t="s">
        <v>37</v>
      </c>
    </row>
    <row r="3" spans="1:11" x14ac:dyDescent="0.55000000000000004">
      <c r="A3" s="2" t="s">
        <v>80</v>
      </c>
      <c r="B3" s="8">
        <f>[5]Arid_Commercial!$C$2/1000000*$H$18</f>
        <v>5.7258687412768623</v>
      </c>
      <c r="C3" s="8">
        <f>[6]SArid_Commercial!$C$2/1000000*$H$18</f>
        <v>7.4145178383761623</v>
      </c>
      <c r="D3" s="8">
        <f>[7]Humid_Commercial!$D$2/1000000*$H$18</f>
        <v>6.2101344297751071</v>
      </c>
      <c r="E3" s="9">
        <f>SUM(B3:D3)</f>
        <v>19.350521009428132</v>
      </c>
      <c r="H3" t="s">
        <v>6</v>
      </c>
      <c r="I3">
        <v>0.68</v>
      </c>
      <c r="K3" t="s">
        <v>38</v>
      </c>
    </row>
    <row r="4" spans="1:11" x14ac:dyDescent="0.55000000000000004">
      <c r="A4" s="2" t="s">
        <v>61</v>
      </c>
      <c r="B4" s="8">
        <f>[8]Dairy_total_Arid_2020!$C$2/1000000*$H$18</f>
        <v>3.1015739695259125E-2</v>
      </c>
      <c r="C4" s="8">
        <f>[9]Dairy_total_SArid_2020!$C$2/1000000*$H$18</f>
        <v>1.5128832774689749</v>
      </c>
      <c r="D4" s="8">
        <f>[10]Dairy_total_Humid_2020!$D$2/1000000*$H$18</f>
        <v>6.5423954973696503</v>
      </c>
      <c r="E4" s="9"/>
    </row>
    <row r="5" spans="1:11" x14ac:dyDescent="0.55000000000000004">
      <c r="A5" s="2" t="s">
        <v>83</v>
      </c>
      <c r="B5" s="8">
        <f>9.78*0.76*[11]Sheep_total_Arid_2020!$C$2/1000000*$H$18</f>
        <v>12.08406494394157</v>
      </c>
      <c r="C5" s="8">
        <f>9.78*0.76*[12]Sheep_total_SArid_2020!$C$2/1000000*$H$18</f>
        <v>9.8853686742266191</v>
      </c>
      <c r="D5" s="8">
        <f>9.78*0.76*[13]Sheep_total_Humid_2020!$D$2/1000000*$H$18</f>
        <v>9.3043172773579848</v>
      </c>
      <c r="E5" s="9">
        <f>SUM(B5:D5)</f>
        <v>31.273750895526174</v>
      </c>
    </row>
    <row r="6" spans="1:11" x14ac:dyDescent="0.55000000000000004">
      <c r="A6" s="2" t="s">
        <v>81</v>
      </c>
      <c r="B6" s="8">
        <f>SUM(B2:B3)</f>
        <v>6.0018508064970026</v>
      </c>
      <c r="C6" s="8">
        <f>SUM(C2:C3)</f>
        <v>7.999137041139079</v>
      </c>
      <c r="D6" s="8">
        <f>SUM(D2:D3)</f>
        <v>6.9472560956042813</v>
      </c>
      <c r="E6" s="9">
        <f>SUM(B6:D6)</f>
        <v>20.948243943240364</v>
      </c>
    </row>
    <row r="7" spans="1:11" x14ac:dyDescent="0.55000000000000004">
      <c r="B7" s="9"/>
      <c r="C7" s="9"/>
      <c r="D7" s="9"/>
      <c r="E7" s="9"/>
      <c r="G7" t="s">
        <v>36</v>
      </c>
      <c r="H7" t="s">
        <v>40</v>
      </c>
      <c r="I7" s="6">
        <f>0.7391304+0.03</f>
        <v>0.76913039999999999</v>
      </c>
      <c r="K7" t="s">
        <v>39</v>
      </c>
    </row>
    <row r="8" spans="1:11" x14ac:dyDescent="0.55000000000000004">
      <c r="A8" s="5" t="s">
        <v>33</v>
      </c>
      <c r="B8" s="9"/>
      <c r="C8" s="9"/>
      <c r="D8" s="9"/>
      <c r="E8" s="9"/>
      <c r="H8" t="s">
        <v>70</v>
      </c>
      <c r="I8" s="6">
        <f>0.5348+0.05</f>
        <v>0.5848000000000001</v>
      </c>
      <c r="K8" t="s">
        <v>39</v>
      </c>
    </row>
    <row r="9" spans="1:11" x14ac:dyDescent="0.55000000000000004">
      <c r="A9" s="2" t="s">
        <v>8</v>
      </c>
      <c r="B9" s="9"/>
      <c r="C9" s="9"/>
      <c r="D9" s="9"/>
      <c r="E9" s="9"/>
      <c r="H9" t="s">
        <v>41</v>
      </c>
      <c r="I9">
        <f>0.0567+0.1</f>
        <v>0.15670000000000001</v>
      </c>
      <c r="K9" t="s">
        <v>39</v>
      </c>
    </row>
    <row r="10" spans="1:11" x14ac:dyDescent="0.55000000000000004">
      <c r="A10" s="3" t="s">
        <v>13</v>
      </c>
      <c r="B10" s="9">
        <f>B3*I7</f>
        <v>4.4039397153257696</v>
      </c>
      <c r="C10" s="9">
        <f>C3*I8</f>
        <v>4.3360100318823802</v>
      </c>
      <c r="D10" s="9"/>
      <c r="E10" s="9">
        <f t="shared" ref="E10:E20" si="0">SUM(B10:D10)</f>
        <v>8.7399497472081507</v>
      </c>
    </row>
    <row r="11" spans="1:11" x14ac:dyDescent="0.55000000000000004">
      <c r="A11" s="3" t="s">
        <v>14</v>
      </c>
      <c r="B11" s="9">
        <f>B10*(1-I11)</f>
        <v>3.8560896147392438</v>
      </c>
      <c r="C11" s="9">
        <f>C10*(1-I11)</f>
        <v>3.7966103839162124</v>
      </c>
      <c r="D11" s="9"/>
      <c r="E11" s="9">
        <f t="shared" si="0"/>
        <v>7.6526999986554562</v>
      </c>
      <c r="G11" t="s">
        <v>47</v>
      </c>
      <c r="H11" t="s">
        <v>9</v>
      </c>
      <c r="I11">
        <f>(0.1244)</f>
        <v>0.1244</v>
      </c>
      <c r="K11" t="s">
        <v>39</v>
      </c>
    </row>
    <row r="12" spans="1:11" x14ac:dyDescent="0.55000000000000004">
      <c r="A12" s="3" t="s">
        <v>15</v>
      </c>
      <c r="B12" s="9">
        <f>B10*(I11)</f>
        <v>0.54785010058652572</v>
      </c>
      <c r="C12" s="9">
        <f>C10*(I11)</f>
        <v>0.53939964796616813</v>
      </c>
      <c r="D12" s="9"/>
      <c r="E12" s="9">
        <f t="shared" si="0"/>
        <v>1.087249748552694</v>
      </c>
      <c r="H12" t="s">
        <v>10</v>
      </c>
      <c r="I12">
        <f>(0.07)</f>
        <v>7.0000000000000007E-2</v>
      </c>
      <c r="K12" t="s">
        <v>39</v>
      </c>
    </row>
    <row r="13" spans="1:11" x14ac:dyDescent="0.55000000000000004">
      <c r="B13" s="9"/>
      <c r="C13" s="9"/>
      <c r="D13" s="9"/>
      <c r="E13" s="9"/>
      <c r="H13" t="s">
        <v>12</v>
      </c>
      <c r="I13">
        <f>(0.08)</f>
        <v>0.08</v>
      </c>
      <c r="K13" t="s">
        <v>39</v>
      </c>
    </row>
    <row r="14" spans="1:11" x14ac:dyDescent="0.55000000000000004">
      <c r="A14" s="3" t="s">
        <v>16</v>
      </c>
      <c r="B14" s="9"/>
      <c r="C14" s="9">
        <f>C3*(1-I8)</f>
        <v>3.0785078064937821</v>
      </c>
      <c r="D14" s="9">
        <f>D3*(1-I8)</f>
        <v>2.5784478152426238</v>
      </c>
      <c r="E14" s="9">
        <f t="shared" si="0"/>
        <v>5.6569556217364063</v>
      </c>
    </row>
    <row r="15" spans="1:11" x14ac:dyDescent="0.55000000000000004">
      <c r="A15" s="3" t="s">
        <v>17</v>
      </c>
      <c r="B15" s="9"/>
      <c r="C15" s="9">
        <f>C14*(1-I12)</f>
        <v>2.8630122600392172</v>
      </c>
      <c r="D15" s="9">
        <f>D14*(1-I12)</f>
        <v>2.3979564681756398</v>
      </c>
      <c r="E15" s="9">
        <f t="shared" si="0"/>
        <v>5.2609687282148574</v>
      </c>
    </row>
    <row r="16" spans="1:11" x14ac:dyDescent="0.55000000000000004">
      <c r="A16" s="3" t="s">
        <v>18</v>
      </c>
      <c r="B16" s="9"/>
      <c r="C16" s="9">
        <f>C14*(I12)</f>
        <v>0.21549554645456476</v>
      </c>
      <c r="D16" s="9">
        <f>D14*(I12)</f>
        <v>0.18049134706698369</v>
      </c>
      <c r="E16" s="9">
        <f t="shared" si="0"/>
        <v>0.39598689352154848</v>
      </c>
    </row>
    <row r="17" spans="1:8" x14ac:dyDescent="0.55000000000000004">
      <c r="B17" s="9"/>
      <c r="C17" s="9"/>
      <c r="D17" s="9"/>
      <c r="E17" s="9"/>
    </row>
    <row r="18" spans="1:8" x14ac:dyDescent="0.55000000000000004">
      <c r="A18" s="3" t="s">
        <v>11</v>
      </c>
      <c r="B18" s="9"/>
      <c r="C18" s="9"/>
      <c r="D18" s="9">
        <f>D3*I9</f>
        <v>0.97312806514575934</v>
      </c>
      <c r="E18" s="9">
        <f t="shared" si="0"/>
        <v>0.97312806514575934</v>
      </c>
      <c r="G18" t="s">
        <v>118</v>
      </c>
      <c r="H18">
        <v>1.25</v>
      </c>
    </row>
    <row r="19" spans="1:8" x14ac:dyDescent="0.55000000000000004">
      <c r="A19" s="3" t="s">
        <v>19</v>
      </c>
      <c r="B19" s="9"/>
      <c r="C19" s="9"/>
      <c r="D19" s="9">
        <f>D$18*(1-I13)</f>
        <v>0.89527781993409861</v>
      </c>
      <c r="E19" s="9">
        <f t="shared" si="0"/>
        <v>0.89527781993409861</v>
      </c>
    </row>
    <row r="20" spans="1:8" x14ac:dyDescent="0.55000000000000004">
      <c r="A20" s="3" t="s">
        <v>20</v>
      </c>
      <c r="B20" s="9"/>
      <c r="C20" s="9"/>
      <c r="D20" s="9">
        <f>D$18*(I13)</f>
        <v>7.7850245211660743E-2</v>
      </c>
      <c r="E20" s="9">
        <f t="shared" si="0"/>
        <v>7.7850245211660743E-2</v>
      </c>
    </row>
    <row r="21" spans="1:8" x14ac:dyDescent="0.55000000000000004">
      <c r="B21" s="9"/>
      <c r="C21" s="9"/>
      <c r="D21" s="9"/>
      <c r="E21" s="9"/>
    </row>
    <row r="22" spans="1:8" x14ac:dyDescent="0.55000000000000004">
      <c r="B22" s="9"/>
      <c r="C22" s="9"/>
      <c r="D22" s="9"/>
      <c r="E22" s="9"/>
    </row>
    <row r="23" spans="1:8" x14ac:dyDescent="0.55000000000000004">
      <c r="A23" s="3" t="s">
        <v>28</v>
      </c>
      <c r="B23" s="9">
        <f>SUM(B15:B16)+SUM(B11:B12)</f>
        <v>4.4039397153257696</v>
      </c>
      <c r="C23" s="9">
        <f>SUM(C15:C16)+SUM(C11:C12)</f>
        <v>7.4145178383761623</v>
      </c>
      <c r="D23" s="9">
        <f>SUM(D15:D16)+SUM(D19:D20)</f>
        <v>3.5515758803883828</v>
      </c>
      <c r="E23" s="9">
        <f>SUM(B23:D23)</f>
        <v>15.370033434090315</v>
      </c>
    </row>
    <row r="24" spans="1:8" x14ac:dyDescent="0.55000000000000004">
      <c r="A24" s="3"/>
      <c r="B24" s="9"/>
      <c r="C24" s="9"/>
      <c r="D24" s="9"/>
      <c r="E24" s="9"/>
    </row>
    <row r="25" spans="1:8" x14ac:dyDescent="0.55000000000000004">
      <c r="A25" s="3" t="s">
        <v>23</v>
      </c>
      <c r="B25" s="9">
        <f>B6*$I2</f>
        <v>0.21006477822739511</v>
      </c>
      <c r="C25" s="9">
        <f t="shared" ref="C25:D25" si="1">C6*$I2</f>
        <v>0.2799697964398678</v>
      </c>
      <c r="D25" s="9">
        <f t="shared" si="1"/>
        <v>0.24315396334614986</v>
      </c>
      <c r="E25" s="9">
        <f>SUM(B25:D25)</f>
        <v>0.73318853801341277</v>
      </c>
    </row>
    <row r="26" spans="1:8" x14ac:dyDescent="0.55000000000000004">
      <c r="A26" s="3" t="s">
        <v>24</v>
      </c>
      <c r="B26" s="9">
        <f>B25*$I3</f>
        <v>0.14284404919462868</v>
      </c>
      <c r="C26" s="9">
        <f t="shared" ref="C26:D26" si="2">C25*$I3</f>
        <v>0.19037946157911012</v>
      </c>
      <c r="D26" s="9">
        <f t="shared" si="2"/>
        <v>0.16534469507538191</v>
      </c>
      <c r="E26" s="9">
        <f>SUM(B26:D26)</f>
        <v>0.4985682058491207</v>
      </c>
      <c r="G26">
        <f>E26*E49</f>
        <v>0.48827647518794504</v>
      </c>
    </row>
    <row r="27" spans="1:8" x14ac:dyDescent="0.55000000000000004">
      <c r="A27" s="3" t="s">
        <v>25</v>
      </c>
      <c r="B27" s="9">
        <f>B25*(1-$I3)</f>
        <v>6.7220729032766421E-2</v>
      </c>
      <c r="C27" s="9">
        <f t="shared" ref="C27:D27" si="3">C25*(1-$I3)</f>
        <v>8.9590334860757681E-2</v>
      </c>
      <c r="D27" s="9">
        <f t="shared" si="3"/>
        <v>7.7809268270767937E-2</v>
      </c>
      <c r="E27" s="9">
        <f t="shared" ref="E27:E31" si="4">SUM(B27:D27)</f>
        <v>0.23462033216429207</v>
      </c>
      <c r="G27">
        <f>E27*1.21</f>
        <v>0.28389060191879339</v>
      </c>
    </row>
    <row r="28" spans="1:8" x14ac:dyDescent="0.55000000000000004">
      <c r="A28" s="3"/>
      <c r="B28" s="9"/>
      <c r="C28" s="9"/>
      <c r="D28" s="9"/>
      <c r="E28" s="9"/>
    </row>
    <row r="29" spans="1:8" x14ac:dyDescent="0.55000000000000004">
      <c r="A29" s="3" t="s">
        <v>22</v>
      </c>
      <c r="B29" s="9">
        <f>B2-B25</f>
        <v>6.591728699274485E-2</v>
      </c>
      <c r="C29" s="9">
        <f t="shared" ref="C29:D29" si="5">C2-C25</f>
        <v>0.30464940632304843</v>
      </c>
      <c r="D29" s="9">
        <f t="shared" si="5"/>
        <v>0.49396770248302452</v>
      </c>
      <c r="E29" s="9">
        <f t="shared" si="4"/>
        <v>0.86453439579881786</v>
      </c>
      <c r="G29">
        <f>22*E49</f>
        <v>21.545863390626266</v>
      </c>
    </row>
    <row r="30" spans="1:8" x14ac:dyDescent="0.55000000000000004">
      <c r="A30" s="3" t="s">
        <v>26</v>
      </c>
      <c r="B30" s="9">
        <f>B29*($I3)</f>
        <v>4.4823755155066501E-2</v>
      </c>
      <c r="C30" s="9">
        <f t="shared" ref="C30" si="6">C29*($I3)</f>
        <v>0.20716159629967296</v>
      </c>
      <c r="D30" s="9">
        <f>D29*($I3)</f>
        <v>0.33589803768845672</v>
      </c>
      <c r="E30" s="9">
        <f t="shared" si="4"/>
        <v>0.58788338914319616</v>
      </c>
      <c r="G30">
        <f>E30*E49</f>
        <v>0.57574796327716748</v>
      </c>
    </row>
    <row r="31" spans="1:8" x14ac:dyDescent="0.55000000000000004">
      <c r="A31" s="3" t="s">
        <v>27</v>
      </c>
      <c r="B31" s="9">
        <f>B29*(1-$I3)</f>
        <v>2.1093531837678349E-2</v>
      </c>
      <c r="C31" s="9">
        <f t="shared" ref="C31:D31" si="7">C29*(1-$I3)</f>
        <v>9.748781002337549E-2</v>
      </c>
      <c r="D31" s="9">
        <f t="shared" si="7"/>
        <v>0.15806966479456783</v>
      </c>
      <c r="E31" s="9">
        <f t="shared" si="4"/>
        <v>0.2766510066556217</v>
      </c>
    </row>
    <row r="32" spans="1:8" x14ac:dyDescent="0.55000000000000004">
      <c r="A32" s="3"/>
      <c r="B32" s="9"/>
      <c r="C32" s="9"/>
      <c r="D32" s="9"/>
      <c r="E32" s="9"/>
    </row>
    <row r="33" spans="1:7" x14ac:dyDescent="0.55000000000000004">
      <c r="A33" s="3" t="s">
        <v>29</v>
      </c>
      <c r="B33" s="9">
        <f>SUM(B11:B12,B15:B16,B26:B27,B30:B31)</f>
        <v>4.6799217805459099</v>
      </c>
      <c r="C33" s="9">
        <f>SUM(C11:C12,C15:C16,C26:C27,C30:C31)</f>
        <v>7.999137041139079</v>
      </c>
      <c r="D33" s="9">
        <f>SUM(D11:D12,D15:D16,D30:D31,D19:D20)</f>
        <v>4.0455435828714066</v>
      </c>
      <c r="E33" s="9">
        <f>SUM(B33:D33)</f>
        <v>16.724602404556396</v>
      </c>
    </row>
    <row r="34" spans="1:7" x14ac:dyDescent="0.55000000000000004">
      <c r="A34" s="3"/>
      <c r="B34" s="9"/>
      <c r="C34" s="9"/>
      <c r="D34" s="9"/>
      <c r="E34" s="9"/>
    </row>
    <row r="35" spans="1:7" x14ac:dyDescent="0.55000000000000004">
      <c r="A35" s="3" t="s">
        <v>61</v>
      </c>
      <c r="B35" s="9">
        <f>B4</f>
        <v>3.1015739695259125E-2</v>
      </c>
      <c r="C35" s="9">
        <f t="shared" ref="C35:D35" si="8">C4</f>
        <v>1.5128832774689749</v>
      </c>
      <c r="D35" s="9">
        <f t="shared" si="8"/>
        <v>6.5423954973696503</v>
      </c>
      <c r="E35" s="9">
        <f t="shared" ref="E35" si="9">SUM(B35:D35)</f>
        <v>8.0862945145338845</v>
      </c>
    </row>
    <row r="36" spans="1:7" x14ac:dyDescent="0.55000000000000004">
      <c r="A36" s="3"/>
      <c r="B36" s="9"/>
      <c r="C36" s="9"/>
      <c r="D36" s="9"/>
      <c r="E36" s="9"/>
    </row>
    <row r="37" spans="1:7" x14ac:dyDescent="0.55000000000000004">
      <c r="A37" s="3"/>
      <c r="B37" s="9"/>
      <c r="C37" s="9"/>
      <c r="D37" s="9"/>
      <c r="E37" s="9"/>
    </row>
    <row r="38" spans="1:7" x14ac:dyDescent="0.55000000000000004">
      <c r="A38" s="3"/>
      <c r="B38" s="9"/>
      <c r="C38" s="9"/>
      <c r="D38" s="9"/>
      <c r="E38" s="9"/>
    </row>
    <row r="39" spans="1:7" x14ac:dyDescent="0.55000000000000004">
      <c r="B39" s="9"/>
      <c r="C39" s="9"/>
      <c r="D39" s="9"/>
      <c r="E39" s="9"/>
    </row>
    <row r="40" spans="1:7" x14ac:dyDescent="0.55000000000000004">
      <c r="A40" s="2" t="s">
        <v>35</v>
      </c>
      <c r="B40" s="9"/>
      <c r="C40" s="9"/>
      <c r="D40" s="9"/>
      <c r="E40" s="9"/>
    </row>
    <row r="41" spans="1:7" x14ac:dyDescent="0.55000000000000004">
      <c r="A41" s="4" t="s">
        <v>31</v>
      </c>
      <c r="B41" s="9"/>
      <c r="C41" s="9"/>
      <c r="D41" s="9"/>
      <c r="E41" s="9"/>
      <c r="G41" s="3"/>
    </row>
    <row r="42" spans="1:7" x14ac:dyDescent="0.55000000000000004">
      <c r="A42" s="3" t="s">
        <v>21</v>
      </c>
      <c r="B42" s="9">
        <f>SUM(B11,B15)</f>
        <v>3.8560896147392438</v>
      </c>
      <c r="C42" s="9">
        <f>SUM(C11,C15)</f>
        <v>6.65962264395543</v>
      </c>
      <c r="D42" s="9">
        <f>SUM(D15,D19)</f>
        <v>3.2932342881097383</v>
      </c>
      <c r="E42" s="9">
        <f>SUM(B42:D42)</f>
        <v>13.808946546804412</v>
      </c>
      <c r="F42">
        <f>E42/E$46</f>
        <v>0.81758574893750702</v>
      </c>
    </row>
    <row r="43" spans="1:7" x14ac:dyDescent="0.55000000000000004">
      <c r="A43" s="3" t="s">
        <v>48</v>
      </c>
      <c r="B43" s="9">
        <f>SUM(B12,B16)</f>
        <v>0.54785010058652572</v>
      </c>
      <c r="C43" s="9">
        <f>SUM(C12,C16)</f>
        <v>0.75489519442073294</v>
      </c>
      <c r="D43" s="9">
        <f>SUM(D12,D16)</f>
        <v>0.18049134706698369</v>
      </c>
      <c r="E43" s="10">
        <f>SUM(B43:D43)</f>
        <v>1.4832366420742424</v>
      </c>
      <c r="F43">
        <f>E43/E$46</f>
        <v>8.7817932870661475E-2</v>
      </c>
    </row>
    <row r="44" spans="1:7" x14ac:dyDescent="0.55000000000000004">
      <c r="A44" s="3" t="s">
        <v>49</v>
      </c>
      <c r="B44" s="9">
        <f>SUM(B26,B30)</f>
        <v>0.18766780434969518</v>
      </c>
      <c r="C44" s="9">
        <f t="shared" ref="C44:D44" si="10">SUM(C26,C30)</f>
        <v>0.39754105787878308</v>
      </c>
      <c r="D44" s="9">
        <f t="shared" si="10"/>
        <v>0.50124273276383868</v>
      </c>
      <c r="E44" s="9">
        <f>SUM(B44:D44)</f>
        <v>1.086451594992317</v>
      </c>
      <c r="F44">
        <f>E44/E$46</f>
        <v>6.4325496370445462E-2</v>
      </c>
    </row>
    <row r="45" spans="1:7" x14ac:dyDescent="0.55000000000000004">
      <c r="A45" s="3" t="s">
        <v>32</v>
      </c>
      <c r="B45" s="9">
        <f>SUM(B27,B31)</f>
        <v>8.8314260870444777E-2</v>
      </c>
      <c r="C45" s="9">
        <f t="shared" ref="C45" si="11">SUM(C27,C31)</f>
        <v>0.18707814488413316</v>
      </c>
      <c r="D45" s="9">
        <f>SUM(D27,D31)</f>
        <v>0.23587893306533575</v>
      </c>
      <c r="E45" s="9">
        <f t="shared" ref="E45" si="12">SUM(B45:D45)</f>
        <v>0.51127133881991371</v>
      </c>
      <c r="F45">
        <f>E45/E$46</f>
        <v>3.0270821821386087E-2</v>
      </c>
    </row>
    <row r="46" spans="1:7" x14ac:dyDescent="0.55000000000000004">
      <c r="A46" s="3" t="s">
        <v>30</v>
      </c>
      <c r="B46" s="9">
        <f>SUM(B42:B45)</f>
        <v>4.6799217805459099</v>
      </c>
      <c r="C46" s="9">
        <f t="shared" ref="C46:D46" si="13">SUM(C42:C45)</f>
        <v>7.999137041139079</v>
      </c>
      <c r="D46" s="9">
        <f t="shared" si="13"/>
        <v>4.210847301005896</v>
      </c>
      <c r="E46" s="9">
        <f>SUM(B46:D46)</f>
        <v>16.889906122690885</v>
      </c>
    </row>
    <row r="48" spans="1:7" x14ac:dyDescent="0.55000000000000004">
      <c r="A48" s="4"/>
      <c r="E48">
        <f>16.541255</f>
        <v>16.541255</v>
      </c>
    </row>
    <row r="49" spans="2:5" x14ac:dyDescent="0.55000000000000004">
      <c r="E49">
        <f>E48/E46</f>
        <v>0.9793574268466485</v>
      </c>
    </row>
    <row r="52" spans="2:5" x14ac:dyDescent="0.55000000000000004">
      <c r="B52">
        <f>B29/B2</f>
        <v>0.23884627046386236</v>
      </c>
      <c r="C52">
        <f t="shared" ref="C52:D52" si="14">C29/C2</f>
        <v>0.52110742323083514</v>
      </c>
      <c r="D52">
        <f t="shared" si="14"/>
        <v>0.67013048914709283</v>
      </c>
    </row>
    <row r="53" spans="2:5" x14ac:dyDescent="0.55000000000000004">
      <c r="B53">
        <f>B25/B2</f>
        <v>0.76115372953613769</v>
      </c>
      <c r="C53">
        <f t="shared" ref="C53:D53" si="15">C25/C2</f>
        <v>0.4788925767691648</v>
      </c>
      <c r="D53">
        <f t="shared" si="15"/>
        <v>0.32986951085290717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4001-CB5D-4E56-8C0D-2957A97A30B1}">
  <dimension ref="A1:E7"/>
  <sheetViews>
    <sheetView workbookViewId="0">
      <selection activeCell="E7" sqref="E7"/>
    </sheetView>
  </sheetViews>
  <sheetFormatPr defaultRowHeight="14.4" x14ac:dyDescent="0.55000000000000004"/>
  <cols>
    <col min="2" max="2" width="16.15625" customWidth="1"/>
  </cols>
  <sheetData>
    <row r="1" spans="1:5" x14ac:dyDescent="0.55000000000000004">
      <c r="B1">
        <v>2020</v>
      </c>
      <c r="C1" t="s">
        <v>45</v>
      </c>
      <c r="D1" t="s">
        <v>46</v>
      </c>
      <c r="E1">
        <v>2050</v>
      </c>
    </row>
    <row r="2" spans="1:5" x14ac:dyDescent="0.55000000000000004">
      <c r="A2" t="s">
        <v>13</v>
      </c>
      <c r="B2" s="7">
        <f>Validate_2020!B2*Herd_decision_tree!E49</f>
        <v>8.5595346951947899</v>
      </c>
      <c r="C2">
        <f>[1]FAO_2019_animal_trends!$G$35/100</f>
        <v>3.8312009613345605E-3</v>
      </c>
      <c r="D2">
        <f>B2*C2*30</f>
        <v>0.9837989265842042</v>
      </c>
      <c r="E2">
        <f>B2+D2</f>
        <v>9.543333621778995</v>
      </c>
    </row>
    <row r="3" spans="1:5" x14ac:dyDescent="0.55000000000000004">
      <c r="A3" t="s">
        <v>16</v>
      </c>
      <c r="B3" s="7">
        <f>Validate_2020!B3*Herd_decision_tree!E49</f>
        <v>5.5401815014894495</v>
      </c>
      <c r="C3">
        <f>[1]FAO_2019_animal_trends!$G36/100</f>
        <v>2.7950424483806725E-2</v>
      </c>
      <c r="D3">
        <f t="shared" ref="D3:D7" si="0">B3*C3*30</f>
        <v>4.6455127405189147</v>
      </c>
      <c r="E3">
        <f t="shared" ref="E3:E7" si="1">B3+D3</f>
        <v>10.185694242008363</v>
      </c>
    </row>
    <row r="4" spans="1:5" x14ac:dyDescent="0.55000000000000004">
      <c r="A4" t="s">
        <v>11</v>
      </c>
      <c r="B4" s="7">
        <f>Validate_2020!B4*Herd_decision_tree!E49</f>
        <v>0.95304019787340855</v>
      </c>
      <c r="C4">
        <f>[1]FAO_2019_animal_trends!$G39/100</f>
        <v>7.6101823708206687E-2</v>
      </c>
      <c r="D4">
        <f t="shared" si="0"/>
        <v>2.1758429137618966</v>
      </c>
      <c r="E4">
        <f t="shared" si="1"/>
        <v>3.1288831116353051</v>
      </c>
    </row>
    <row r="5" spans="1:5" x14ac:dyDescent="0.55000000000000004">
      <c r="A5" t="s">
        <v>42</v>
      </c>
      <c r="B5" s="7">
        <f>Validate_2020!B5*Herd_decision_tree!E49</f>
        <v>0.84668818128995227</v>
      </c>
      <c r="C5">
        <f>[1]FAO_2019_animal_trends!$G38/100</f>
        <v>1.0372340425531916E-2</v>
      </c>
      <c r="D5">
        <f t="shared" si="0"/>
        <v>0.26346414151841602</v>
      </c>
      <c r="E5">
        <f t="shared" si="1"/>
        <v>1.1101523228083683</v>
      </c>
    </row>
    <row r="6" spans="1:5" x14ac:dyDescent="0.55000000000000004">
      <c r="A6" t="s">
        <v>23</v>
      </c>
      <c r="B6" s="7">
        <f>Validate_2020!B6*Herd_decision_tree!E49</f>
        <v>0.71805363998227212</v>
      </c>
      <c r="C6">
        <f>[1]FAO_2019_animal_trends!$G37/100</f>
        <v>0.86466565349544067</v>
      </c>
      <c r="D6">
        <f t="shared" si="0"/>
        <v>18.626289595801538</v>
      </c>
      <c r="E6">
        <f t="shared" si="1"/>
        <v>19.344343235783811</v>
      </c>
    </row>
    <row r="7" spans="1:5" x14ac:dyDescent="0.55000000000000004">
      <c r="A7" t="s">
        <v>61</v>
      </c>
      <c r="B7">
        <f>Herd_decision_tree!E35</f>
        <v>8.0862945145338845</v>
      </c>
      <c r="C7">
        <f>[1]FAO_2019_animal_trends!$G39/100</f>
        <v>7.6101823708206687E-2</v>
      </c>
      <c r="D7">
        <f t="shared" si="0"/>
        <v>18.461452787930895</v>
      </c>
      <c r="E7">
        <f t="shared" si="1"/>
        <v>26.547747302464778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5D3D0-4020-4418-A256-3E770B560826}">
  <dimension ref="A1:M8"/>
  <sheetViews>
    <sheetView workbookViewId="0">
      <selection activeCell="F8" sqref="F8"/>
    </sheetView>
  </sheetViews>
  <sheetFormatPr defaultRowHeight="14.4" x14ac:dyDescent="0.55000000000000004"/>
  <sheetData>
    <row r="1" spans="1:13" x14ac:dyDescent="0.55000000000000004">
      <c r="B1">
        <v>2020</v>
      </c>
      <c r="G1">
        <v>2050</v>
      </c>
      <c r="L1" t="s">
        <v>56</v>
      </c>
    </row>
    <row r="2" spans="1:13" x14ac:dyDescent="0.55000000000000004">
      <c r="B2" t="s">
        <v>54</v>
      </c>
      <c r="C2" t="s">
        <v>55</v>
      </c>
      <c r="D2" t="s">
        <v>3</v>
      </c>
      <c r="E2" t="s">
        <v>56</v>
      </c>
      <c r="G2" t="s">
        <v>54</v>
      </c>
      <c r="H2" t="s">
        <v>55</v>
      </c>
      <c r="I2" t="s">
        <v>3</v>
      </c>
      <c r="J2" t="s">
        <v>57</v>
      </c>
      <c r="M2" t="s">
        <v>57</v>
      </c>
    </row>
    <row r="3" spans="1:13" x14ac:dyDescent="0.55000000000000004">
      <c r="A3" t="s">
        <v>13</v>
      </c>
      <c r="B3">
        <f>[14]Pastoral_Zebu_2020!$K$2</f>
        <v>7912803.5780913802</v>
      </c>
      <c r="C3">
        <f>[15]Pastoral_Boran_2020!$K$2</f>
        <v>1124203.7226895699</v>
      </c>
      <c r="D3">
        <f>SUM(B3:C3)/1000000</f>
        <v>9.0370073007809495</v>
      </c>
      <c r="E3">
        <f>Herd_decision_tree!E10*Herd_decision_tree!$E$49</f>
        <v>8.5595346951947899</v>
      </c>
      <c r="G3">
        <f>[16]Pastoral_Zebu_2050!$K$2</f>
        <v>8554757.4814370908</v>
      </c>
      <c r="H3">
        <f>[17]Pastoral_Boran_2050!$K$2</f>
        <v>1215408.67359516</v>
      </c>
      <c r="I3">
        <f>SUM(G3:H3)/1000000</f>
        <v>9.7701661550322516</v>
      </c>
      <c r="J3">
        <f>I3/D3</f>
        <v>1.0811285008243763</v>
      </c>
      <c r="L3">
        <f>E3+E3*30*Validate_2020!G2/100</f>
        <v>9.5433336217789932</v>
      </c>
      <c r="M3">
        <f>L3/E3</f>
        <v>1.1149360288400367</v>
      </c>
    </row>
    <row r="4" spans="1:13" x14ac:dyDescent="0.55000000000000004">
      <c r="A4" t="s">
        <v>16</v>
      </c>
      <c r="B4">
        <f>[18]Agpastoral_Zebu_2020!$K$2</f>
        <v>3685141.0110471202</v>
      </c>
      <c r="C4">
        <f>[19]Agpastoral_Boran_2020!$K$2</f>
        <v>277376.20390618598</v>
      </c>
      <c r="D4">
        <f>SUM(B4:C4)/1000000</f>
        <v>3.9625172149533063</v>
      </c>
      <c r="E4">
        <f>Herd_decision_tree!E14*Herd_decision_tree!$E$49</f>
        <v>5.5401815014894495</v>
      </c>
      <c r="G4">
        <f>[20]Agpastoral_Zebu_2050!$K$2</f>
        <v>6488770.1197828101</v>
      </c>
      <c r="H4">
        <f>[21]Agpastoral_Boran_2050!$K$2</f>
        <v>488402.05019366002</v>
      </c>
      <c r="I4">
        <f t="shared" ref="I4:I7" si="0">SUM(G4:H4)/1000000</f>
        <v>6.9771721699764697</v>
      </c>
      <c r="J4">
        <f t="shared" ref="J4:J7" si="1">I4/D4</f>
        <v>1.7607928979202396</v>
      </c>
      <c r="L4">
        <f>E4+E4*30*Validate_2020!G3/100</f>
        <v>10.185694242008363</v>
      </c>
      <c r="M4">
        <f t="shared" ref="M4:M6" si="2">L4/E4</f>
        <v>1.8385127345142016</v>
      </c>
    </row>
    <row r="5" spans="1:13" x14ac:dyDescent="0.55000000000000004">
      <c r="A5" t="s">
        <v>11</v>
      </c>
      <c r="B5">
        <f>[22]Mixed_Zebu_2020!$K$2</f>
        <v>298374.71550379699</v>
      </c>
      <c r="C5">
        <f>[23]Mixed_Boran_2020!$K$2</f>
        <v>25945.627401560501</v>
      </c>
      <c r="D5">
        <f>SUM(B5:C5)/1000000</f>
        <v>0.32432034290535749</v>
      </c>
      <c r="E5">
        <f>Herd_decision_tree!E18*Herd_decision_tree!$E$49</f>
        <v>0.95304019787340855</v>
      </c>
      <c r="G5">
        <f>[24]Mixed_Zebu_2050!$K$2</f>
        <v>404262.59496554697</v>
      </c>
      <c r="H5">
        <f>[25]Mixed_Boran_2050!$K$2</f>
        <v>35153.269665965803</v>
      </c>
      <c r="I5">
        <f t="shared" si="0"/>
        <v>0.43941586463151278</v>
      </c>
      <c r="J5">
        <f t="shared" si="1"/>
        <v>1.3548822152045585</v>
      </c>
      <c r="L5">
        <f>E5+E5*30*Validate_2020!G4/100</f>
        <v>1.3403334773726867</v>
      </c>
      <c r="M5">
        <f t="shared" si="2"/>
        <v>1.4063766464032423</v>
      </c>
    </row>
    <row r="6" spans="1:13" x14ac:dyDescent="0.55000000000000004">
      <c r="A6" t="s">
        <v>42</v>
      </c>
      <c r="B6">
        <f>[26]Cowcalf_Boran_2020!$K$2</f>
        <v>1184753.34766715</v>
      </c>
      <c r="C6">
        <f>[27]Cowcalf_Exotic_2020!$K$2</f>
        <v>985977.36353097099</v>
      </c>
      <c r="D6">
        <f t="shared" ref="D6:D7" si="3">SUM(B6:C6)/1000000</f>
        <v>2.1707307111981207</v>
      </c>
      <c r="E6">
        <f>Herd_decision_tree!E29*Herd_decision_tree!$E$49</f>
        <v>0.84668818128995227</v>
      </c>
      <c r="G6">
        <f>[28]Cowcalf_Boran_2050!$K$2</f>
        <v>1806208.69891036</v>
      </c>
      <c r="H6">
        <f>[29]Cowcalf_Exotic_2050!$K$2</f>
        <v>1503165.94333724</v>
      </c>
      <c r="I6">
        <f t="shared" si="0"/>
        <v>3.3093746422476</v>
      </c>
      <c r="J6">
        <f t="shared" si="1"/>
        <v>1.5245440741108842</v>
      </c>
      <c r="L6">
        <f>E6+E6*30*Validate_2020!G5/100</f>
        <v>1.1101523228083683</v>
      </c>
      <c r="M6">
        <f t="shared" si="2"/>
        <v>1.3111702127659575</v>
      </c>
    </row>
    <row r="7" spans="1:13" x14ac:dyDescent="0.55000000000000004">
      <c r="A7" t="s">
        <v>23</v>
      </c>
      <c r="B7">
        <f>[30]Finisher_Boran_2020!$K$2</f>
        <v>26321.876059999999</v>
      </c>
      <c r="C7">
        <f>[31]Finisher_Exotic_2020!$K$2</f>
        <v>12386.7653238613</v>
      </c>
      <c r="D7">
        <f t="shared" si="3"/>
        <v>3.8708641383861299E-2</v>
      </c>
      <c r="E7">
        <f>Herd_decision_tree!E25*Herd_decision_tree!$E$49</f>
        <v>0.71805363998227212</v>
      </c>
      <c r="G7">
        <f>[32]Finisher_Boran_2050!$K$2</f>
        <v>918345.45531155204</v>
      </c>
      <c r="H7">
        <f>[33]Finisher_Exotic_2050!$K$2</f>
        <v>432162.57168335503</v>
      </c>
      <c r="I7">
        <f t="shared" si="0"/>
        <v>1.350508026994907</v>
      </c>
      <c r="J7">
        <f t="shared" si="1"/>
        <v>34.889057810175977</v>
      </c>
      <c r="L7">
        <f>E7+E7*30*Validate_2020!G6/100</f>
        <v>19.344343235783811</v>
      </c>
      <c r="M7">
        <f>L7/E7</f>
        <v>26.939969604863222</v>
      </c>
    </row>
    <row r="8" spans="1:13" x14ac:dyDescent="0.55000000000000004">
      <c r="D8">
        <f>SUM(D3:D7)</f>
        <v>15.533284211221597</v>
      </c>
      <c r="E8">
        <f>SUM(E3:E7)</f>
        <v>16.617498215829873</v>
      </c>
      <c r="G8">
        <f>SUM(G3:G7)</f>
        <v>18172344.350407358</v>
      </c>
      <c r="H8">
        <f t="shared" ref="H8:I8" si="4">SUM(H3:H7)</f>
        <v>3674292.5084753809</v>
      </c>
      <c r="I8">
        <f t="shared" si="4"/>
        <v>21.846636858882739</v>
      </c>
      <c r="J8">
        <f>I8/D8</f>
        <v>1.4064402969656753</v>
      </c>
      <c r="L8">
        <f>SUM(L3:L7)</f>
        <v>41.523856899752225</v>
      </c>
      <c r="M8">
        <f>L8/E8</f>
        <v>2.4988031507773227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91AA-CE3C-44BE-AF6B-8649852BC25F}">
  <dimension ref="A1:L30"/>
  <sheetViews>
    <sheetView topLeftCell="A13" workbookViewId="0">
      <selection activeCell="F2" sqref="F2"/>
    </sheetView>
  </sheetViews>
  <sheetFormatPr defaultRowHeight="14.4" x14ac:dyDescent="0.55000000000000004"/>
  <cols>
    <col min="1" max="1" width="17.68359375" customWidth="1"/>
    <col min="2" max="2" width="32.83984375" customWidth="1"/>
    <col min="3" max="3" width="16.41796875" customWidth="1"/>
    <col min="4" max="4" width="15.68359375" bestFit="1" customWidth="1"/>
    <col min="5" max="5" width="14.26171875" customWidth="1"/>
    <col min="6" max="6" width="12.26171875" bestFit="1" customWidth="1"/>
    <col min="7" max="8" width="11.578125" bestFit="1" customWidth="1"/>
    <col min="11" max="11" width="16.41796875" customWidth="1"/>
    <col min="12" max="12" width="9.578125" bestFit="1" customWidth="1"/>
  </cols>
  <sheetData>
    <row r="1" spans="1:12" x14ac:dyDescent="0.55000000000000004">
      <c r="A1" t="s">
        <v>67</v>
      </c>
      <c r="C1" t="s">
        <v>0</v>
      </c>
      <c r="D1" t="s">
        <v>58</v>
      </c>
      <c r="E1" t="s">
        <v>2</v>
      </c>
    </row>
    <row r="2" spans="1:12" x14ac:dyDescent="0.55000000000000004">
      <c r="A2" t="s">
        <v>92</v>
      </c>
      <c r="B2" t="s">
        <v>89</v>
      </c>
      <c r="C2" s="12">
        <f>[34]ZS_Grassland_Arid!$D$2*L15</f>
        <v>7105918.9949999992</v>
      </c>
      <c r="D2" s="12">
        <f>[35]ZS_Grassland_SArid!$D$2*L15</f>
        <v>4556839.63</v>
      </c>
      <c r="E2" s="12">
        <f>[36]ZS_Grassland_Humid!$E$2*L15</f>
        <v>2262153.4458035277</v>
      </c>
    </row>
    <row r="3" spans="1:12" x14ac:dyDescent="0.55000000000000004">
      <c r="B3" t="s">
        <v>90</v>
      </c>
      <c r="C3" s="12">
        <f>[37]ZS_Cropland_Arid!$D$2*L15</f>
        <v>18395.019999999997</v>
      </c>
      <c r="D3" s="12">
        <f>[38]ZS_Cropland_SArid!$D$2*L15</f>
        <v>686372.96</v>
      </c>
      <c r="E3" s="12">
        <f>[39]ZS_Cropland_Humid!$E$2*L15</f>
        <v>950603.98551942373</v>
      </c>
    </row>
    <row r="4" spans="1:12" x14ac:dyDescent="0.55000000000000004">
      <c r="B4" t="s">
        <v>91</v>
      </c>
      <c r="C4" s="12">
        <f>[40]ZS_Shrubland_Arid!$D$2*L15</f>
        <v>9755293.3449999988</v>
      </c>
      <c r="D4" s="12">
        <f>[41]ZS_Shrubland_SArid!$D$2*L15</f>
        <v>12549721.555</v>
      </c>
      <c r="E4" s="12">
        <f>[42]ZS_Shrubland_Humid!$E$2*L15</f>
        <v>2223118.4370185882</v>
      </c>
    </row>
    <row r="5" spans="1:12" x14ac:dyDescent="0.55000000000000004">
      <c r="C5" s="12"/>
      <c r="D5" s="12"/>
      <c r="E5" s="12"/>
    </row>
    <row r="6" spans="1:12" x14ac:dyDescent="0.55000000000000004">
      <c r="B6" s="1" t="s">
        <v>93</v>
      </c>
    </row>
    <row r="7" spans="1:12" x14ac:dyDescent="0.55000000000000004">
      <c r="A7">
        <v>2020</v>
      </c>
      <c r="B7" t="s">
        <v>71</v>
      </c>
      <c r="C7" s="15">
        <f>[43]NPP_2020_GRASS_Arid!$E$2</f>
        <v>0.33293323112310402</v>
      </c>
      <c r="D7" s="15">
        <f>[44]NPP_2020_GRASS_SArid!$E$2</f>
        <v>0.48080803465972</v>
      </c>
      <c r="E7" s="14">
        <f>[45]filtered!$F$2</f>
        <v>0.88607168377191448</v>
      </c>
    </row>
    <row r="8" spans="1:12" x14ac:dyDescent="0.55000000000000004">
      <c r="B8" t="s">
        <v>72</v>
      </c>
      <c r="C8" s="30">
        <f>[46]NPP_2020_CROP_Arid!$E$2</f>
        <v>0.97599038751874501</v>
      </c>
      <c r="D8" s="30">
        <f>[47]NPP_2020_CROP_SArid!$E$2</f>
        <v>0.71416468993051396</v>
      </c>
      <c r="E8" s="14">
        <f>[48]filtered!$F$2</f>
        <v>1.0193612610195171</v>
      </c>
    </row>
    <row r="9" spans="1:12" x14ac:dyDescent="0.55000000000000004">
      <c r="B9" t="s">
        <v>73</v>
      </c>
      <c r="C9" s="15">
        <f>[49]NPP_2020_SHRUB_Arid!$E$2</f>
        <v>0.20100553202445001</v>
      </c>
      <c r="D9" s="15">
        <f>[50]NPP_2020_SHRUB_SArid!$E$2</f>
        <v>0.48842843619779902</v>
      </c>
      <c r="E9" s="14">
        <f>[51]filtered!$F$2</f>
        <v>0.9284507277249876</v>
      </c>
      <c r="L9" s="11"/>
    </row>
    <row r="10" spans="1:12" x14ac:dyDescent="0.55000000000000004">
      <c r="C10" s="12"/>
      <c r="D10" s="12"/>
      <c r="E10" s="12"/>
      <c r="L10" s="11"/>
    </row>
    <row r="11" spans="1:12" x14ac:dyDescent="0.55000000000000004">
      <c r="A11" t="s">
        <v>68</v>
      </c>
      <c r="B11" t="s">
        <v>71</v>
      </c>
      <c r="C11" s="15">
        <f>[52]NPP_2050_R4_GRASS_Arid!$E$2</f>
        <v>0.36084903504638699</v>
      </c>
      <c r="D11" s="15">
        <f>[53]NPP_2050_R4_GRASS_SArid!$E$2</f>
        <v>0.51075241024303597</v>
      </c>
      <c r="E11" s="15">
        <f>[54]filtered!$F$2</f>
        <v>0.90483097904137921</v>
      </c>
      <c r="F11">
        <f>C11/C7</f>
        <v>1.0838480551464114</v>
      </c>
      <c r="G11">
        <f t="shared" ref="G11:H13" si="0">D11/D7</f>
        <v>1.0622792745227487</v>
      </c>
      <c r="H11">
        <f t="shared" si="0"/>
        <v>1.0211713065805335</v>
      </c>
    </row>
    <row r="12" spans="1:12" x14ac:dyDescent="0.55000000000000004">
      <c r="B12" t="s">
        <v>72</v>
      </c>
      <c r="C12" s="15">
        <f>[55]NPP_2050_R4_CROP_Arid!$E$2</f>
        <v>1.0384816436740301</v>
      </c>
      <c r="D12" s="15">
        <f>[56]NPP_2050_R4_CROP_SArid!$E$2</f>
        <v>0.72447113600000002</v>
      </c>
      <c r="E12" s="15">
        <f>[57]filtered!$F$2</f>
        <v>0.98649141647533578</v>
      </c>
      <c r="F12">
        <f t="shared" ref="F12:F13" si="1">C12/C8</f>
        <v>1.0640285569965051</v>
      </c>
      <c r="G12">
        <f t="shared" si="0"/>
        <v>1.0144314696803183</v>
      </c>
      <c r="H12">
        <f t="shared" si="0"/>
        <v>0.96775446958686029</v>
      </c>
    </row>
    <row r="13" spans="1:12" x14ac:dyDescent="0.55000000000000004">
      <c r="B13" t="s">
        <v>73</v>
      </c>
      <c r="C13" s="15">
        <f>[58]NPP_2050_R4_SHRUB_Arid!$E$2</f>
        <v>0.21776707800273001</v>
      </c>
      <c r="D13" s="15">
        <f>[59]NPP_2050_R4_SHRUB_SArid!$E$2</f>
        <v>0.51075241024303597</v>
      </c>
      <c r="E13" s="15">
        <f>[60]filtered!$F$2</f>
        <v>0.90483097904137921</v>
      </c>
      <c r="F13">
        <f t="shared" si="1"/>
        <v>1.0833884809510672</v>
      </c>
      <c r="G13">
        <f t="shared" si="0"/>
        <v>1.0457057214338692</v>
      </c>
      <c r="H13">
        <f t="shared" si="0"/>
        <v>0.9745600407449897</v>
      </c>
    </row>
    <row r="14" spans="1:12" x14ac:dyDescent="0.55000000000000004">
      <c r="C14" s="12"/>
      <c r="D14" s="12"/>
      <c r="E14" s="12"/>
    </row>
    <row r="15" spans="1:12" x14ac:dyDescent="0.55000000000000004">
      <c r="A15" t="s">
        <v>69</v>
      </c>
      <c r="B15" t="s">
        <v>71</v>
      </c>
      <c r="C15" s="15">
        <f>[61]NPP_2050_R8_GRASS_Arid!$E$2</f>
        <v>0.38422689204237098</v>
      </c>
      <c r="D15" s="15">
        <f>[62]NPP_2050_R8_GRASS_SArid!$E$2</f>
        <v>0.51337712420869996</v>
      </c>
      <c r="E15" s="15">
        <f>[63]filtered!$F$2</f>
        <v>0.88457459938562355</v>
      </c>
      <c r="F15">
        <f>C15/C7</f>
        <v>1.1540659090900447</v>
      </c>
      <c r="G15">
        <f t="shared" ref="G15:H17" si="2">D15/D7</f>
        <v>1.0677382389668881</v>
      </c>
      <c r="H15">
        <f t="shared" si="2"/>
        <v>0.9983104252018099</v>
      </c>
      <c r="K15" t="s">
        <v>87</v>
      </c>
      <c r="L15">
        <f>35.105</f>
        <v>35.104999999999997</v>
      </c>
    </row>
    <row r="16" spans="1:12" x14ac:dyDescent="0.55000000000000004">
      <c r="B16" t="s">
        <v>72</v>
      </c>
      <c r="C16" s="15">
        <f>[64]NPP_2050_R8_CROP_Arid!$E$2</f>
        <v>1.10532849796393</v>
      </c>
      <c r="D16" s="15">
        <f>[65]NPP_2050_R8_CROP_SArid!$E$2</f>
        <v>0.80695680840268103</v>
      </c>
      <c r="E16" s="15">
        <f>[66]filtered!$F$2</f>
        <v>1.0242825546815273</v>
      </c>
      <c r="F16">
        <f>C16/C8</f>
        <v>1.1325198609527298</v>
      </c>
      <c r="G16">
        <f t="shared" si="2"/>
        <v>1.1299309805994404</v>
      </c>
      <c r="H16">
        <f>E16/E12</f>
        <v>1.0383086335826586</v>
      </c>
      <c r="K16" t="s">
        <v>86</v>
      </c>
      <c r="L16">
        <f>L15</f>
        <v>35.104999999999997</v>
      </c>
    </row>
    <row r="17" spans="1:8" x14ac:dyDescent="0.55000000000000004">
      <c r="B17" t="s">
        <v>73</v>
      </c>
      <c r="C17" s="15">
        <f>[67]NPP_2050_R8_SHRUB_Arid!$E$2</f>
        <v>0.231319877140652</v>
      </c>
      <c r="D17" s="15">
        <f>[68]NPP_2050_R8_SHRUB_SArid!$E$2</f>
        <v>0.51046846997934603</v>
      </c>
      <c r="E17" s="15">
        <f>[69]filtered!$F$2</f>
        <v>0.93416975929597834</v>
      </c>
      <c r="F17">
        <f t="shared" ref="F17" si="3">C17/C9</f>
        <v>1.1508134866283908</v>
      </c>
      <c r="G17">
        <f t="shared" si="2"/>
        <v>1.0451243870097306</v>
      </c>
      <c r="H17">
        <f t="shared" si="2"/>
        <v>1.0061597577558092</v>
      </c>
    </row>
    <row r="20" spans="1:8" x14ac:dyDescent="0.55000000000000004">
      <c r="A20" s="16">
        <v>2020</v>
      </c>
      <c r="B20" t="s">
        <v>74</v>
      </c>
      <c r="C20">
        <f>10000*(1/1000)*(C2*C7+C3*C8*[70]Raster_logic!$I$84+C4*C9*[70]Raster_logic!$I$85)*(1/[70]Raster_logic!$I$79)*[70]Raster_logic!$I$80*[70]Raster_logic!$I$81/1000000</f>
        <v>8.3324944189563208</v>
      </c>
      <c r="D20">
        <f>10000*(1/1000)*(D2*D7+D3*D8*[70]Raster_logic!$I$84+D4*D9*[70]Raster_logic!$I$85)*(1/[70]Raster_logic!$I$79)*[70]Raster_logic!$I$80*[70]Raster_logic!$I$81/1000000</f>
        <v>12.69703720354909</v>
      </c>
      <c r="E20">
        <f>10000*(1/1000)*(E2*E7+E3*E8*[70]Raster_logic!$I$84+E4*E9*[70]Raster_logic!$I$85)*(1/[70]Raster_logic!$I$79)*[70]Raster_logic!$I$80*[70]Raster_logic!$I$81/1000000</f>
        <v>8.341120928606971</v>
      </c>
    </row>
    <row r="21" spans="1:8" x14ac:dyDescent="0.55000000000000004">
      <c r="B21" t="s">
        <v>75</v>
      </c>
      <c r="C21">
        <f>10000*(1/1000)*(C3*C8*[70]Raster_logic!$I$91)*(1/[70]Raster_logic!$I$87)*[70]Raster_logic!$I$88*[70]Raster_logic!$I$89*[70]Raster_logic!$I$86/1000000</f>
        <v>3.8150895733707002E-2</v>
      </c>
      <c r="D21">
        <f>10000*(1/1000)*(D3*D8*[70]Raster_logic!$I$91)*(1/[70]Raster_logic!$I$87)*[70]Raster_logic!$I$88*[70]Raster_logic!$I$89*[70]Raster_logic!$I$86/1000000</f>
        <v>1.041639580829564</v>
      </c>
      <c r="E21">
        <f>10000*(1/1000)*(E3*E8*[70]Raster_logic!$I$91)*(1/[70]Raster_logic!$I$87)*[70]Raster_logic!$I$88*[70]Raster_logic!$I$89*[70]Raster_logic!$I$86/1000000</f>
        <v>2.0591438644946747</v>
      </c>
    </row>
    <row r="22" spans="1:8" x14ac:dyDescent="0.55000000000000004">
      <c r="B22" t="s">
        <v>76</v>
      </c>
      <c r="C22">
        <f>SUM(C20:C21)</f>
        <v>8.3706453146900284</v>
      </c>
      <c r="D22">
        <f>SUM(D20:D21)</f>
        <v>13.738676784378654</v>
      </c>
      <c r="E22">
        <f>SUM(E20:E21)</f>
        <v>10.400264793101645</v>
      </c>
    </row>
    <row r="24" spans="1:8" x14ac:dyDescent="0.55000000000000004">
      <c r="A24" t="s">
        <v>68</v>
      </c>
      <c r="B24" t="str">
        <f>B20</f>
        <v>BIOM GRASS Supply (MT/ha/yr)</v>
      </c>
      <c r="C24">
        <f>10000*(1/1000)*(C2*C11+C3*C12*[70]Raster_logic!$I$84+C4*C13*[70]Raster_logic!$I$85)*(1/[70]Raster_logic!$I$79)*[70]Raster_logic!$I$80*[70]Raster_logic!$I$81/1000000</f>
        <v>9.0298868510117494</v>
      </c>
      <c r="D24">
        <f>10000*(1/1000)*(D2*D11+D3*D12*[70]Raster_logic!$I$84+D4*D13*[70]Raster_logic!$I$85)*(1/[70]Raster_logic!$I$79)*[70]Raster_logic!$I$80*[70]Raster_logic!$I$81/1000000</f>
        <v>13.359468018042634</v>
      </c>
      <c r="E24">
        <f>10000*(1/1000)*(E2*E11+E3*E12*[70]Raster_logic!$I$84+E4*E13*[70]Raster_logic!$I$85)*(1/[70]Raster_logic!$I$79)*[70]Raster_logic!$I$80*[70]Raster_logic!$I$81/1000000</f>
        <v>8.3696564117948942</v>
      </c>
      <c r="F24" s="13">
        <f>C24/C20</f>
        <v>1.0836955174513971</v>
      </c>
      <c r="G24" s="13">
        <f t="shared" ref="G24:H26" si="4">D24/D20</f>
        <v>1.0521720779323527</v>
      </c>
      <c r="H24" s="13">
        <f t="shared" si="4"/>
        <v>1.0034210609619694</v>
      </c>
    </row>
    <row r="25" spans="1:8" x14ac:dyDescent="0.55000000000000004">
      <c r="B25" t="str">
        <f t="shared" ref="B25:B26" si="5">B21</f>
        <v>BIOM CROP Supply (MT/ha/yr)</v>
      </c>
      <c r="C25">
        <f>10000*(1/1000)*(C12*C3*[70]Raster_logic!$I$91)*(1/[70]Raster_logic!$I$87)*[70]Raster_logic!$I$88*[70]Raster_logic!$I$89*[70]Raster_logic!$I$86/1000000</f>
        <v>4.0593642535660383E-2</v>
      </c>
      <c r="D25">
        <f>10000*(1/1000)*(D12*D3*[70]Raster_logic!$I$91)*(1/[70]Raster_logic!$I$87)*[70]Raster_logic!$I$88*[70]Raster_logic!$I$89*[70]Raster_logic!$I$86/1000000</f>
        <v>1.0566719708581258</v>
      </c>
      <c r="E25">
        <f>10000*(1/1000)*(E12*E3*[70]Raster_logic!$I$91)*(1/[70]Raster_logic!$I$87)*[70]Raster_logic!$I$88*[70]Raster_logic!$I$89*[70]Raster_logic!$I$86/1000000</f>
        <v>1.9927456783870812</v>
      </c>
      <c r="F25" s="13">
        <f t="shared" ref="F25:F26" si="6">C25/C21</f>
        <v>1.0640285569965051</v>
      </c>
      <c r="G25" s="13">
        <f t="shared" si="4"/>
        <v>1.0144314696803187</v>
      </c>
      <c r="H25" s="13">
        <f t="shared" si="4"/>
        <v>0.96775446958686007</v>
      </c>
    </row>
    <row r="26" spans="1:8" x14ac:dyDescent="0.55000000000000004">
      <c r="B26" t="str">
        <f t="shared" si="5"/>
        <v>BIOM Total (MT/ha/yr)</v>
      </c>
      <c r="C26">
        <f>SUM(C24:C25)</f>
        <v>9.070480493547409</v>
      </c>
      <c r="D26">
        <f t="shared" ref="D26:E26" si="7">SUM(D24:D25)</f>
        <v>14.41613998890076</v>
      </c>
      <c r="E26">
        <f t="shared" si="7"/>
        <v>10.362402090181975</v>
      </c>
      <c r="F26" s="13">
        <f t="shared" si="6"/>
        <v>1.0836058813326146</v>
      </c>
      <c r="G26" s="13">
        <f t="shared" si="4"/>
        <v>1.0493106588905567</v>
      </c>
      <c r="H26" s="13">
        <f t="shared" si="4"/>
        <v>0.99635944818012867</v>
      </c>
    </row>
    <row r="28" spans="1:8" x14ac:dyDescent="0.55000000000000004">
      <c r="A28" t="s">
        <v>69</v>
      </c>
      <c r="B28" t="str">
        <f>B24</f>
        <v>BIOM GRASS Supply (MT/ha/yr)</v>
      </c>
      <c r="C28">
        <f>10000*(1/1000)*(C2*C15+C3*C16*[70]Raster_logic!$I$84+C4*C17*[70]Raster_logic!$I$85)*(1/[70]Raster_logic!$I$79)*[70]Raster_logic!$I$80*[70]Raster_logic!$I$81/1000000</f>
        <v>9.609165818496594</v>
      </c>
      <c r="D28">
        <f>10000*(1/1000)*(D2*D15+D3*D16*[70]Raster_logic!$I$84+D4*D17*[70]Raster_logic!$I$85)*(1/[70]Raster_logic!$I$79)*[70]Raster_logic!$I$80*[70]Raster_logic!$I$81/1000000</f>
        <v>13.438099018999708</v>
      </c>
      <c r="E28">
        <f>10000*(1/1000)*(E2*E15+E3*E16*[70]Raster_logic!$I$84+E4*E17*[70]Raster_logic!$I$85)*(1/[70]Raster_logic!$I$79)*[70]Raster_logic!$I$80*[70]Raster_logic!$I$81/1000000</f>
        <v>8.3498054400644932</v>
      </c>
      <c r="F28" s="13">
        <f>C28/C20</f>
        <v>1.1532159921566658</v>
      </c>
      <c r="G28" s="13">
        <f t="shared" ref="G28:H28" si="8">D28/D20</f>
        <v>1.0583649400699144</v>
      </c>
      <c r="H28" s="13">
        <f t="shared" si="8"/>
        <v>1.0010411683911375</v>
      </c>
    </row>
    <row r="29" spans="1:8" x14ac:dyDescent="0.55000000000000004">
      <c r="B29" t="str">
        <f t="shared" ref="B29:B30" si="9">B25</f>
        <v>BIOM CROP Supply (MT/ha/yr)</v>
      </c>
      <c r="C29">
        <f>10000*(1/1000)*(C16*C3*[70]Raster_logic!$I$91)*(1/[70]Raster_logic!$I$87)*[70]Raster_logic!$I$88*[70]Raster_logic!$I$89*[70]Raster_logic!$I$86/1000000</f>
        <v>4.3206647131559951E-2</v>
      </c>
      <c r="D29">
        <f>10000*(1/1000)*(D16*D3*[70]Raster_logic!$I$91)*(1/[70]Raster_logic!$I$87)*[70]Raster_logic!$I$88*[70]Raster_logic!$I$89*[70]Raster_logic!$I$86/1000000</f>
        <v>1.1769808329979399</v>
      </c>
      <c r="E29">
        <f>10000*(1/1000)*(E16*E3*[70]Raster_logic!$I$91)*(1/[70]Raster_logic!$I$87)*[70]Raster_logic!$I$88*[70]Raster_logic!$I$89*[70]Raster_logic!$I$86/1000000</f>
        <v>2.0690850424038385</v>
      </c>
      <c r="F29" s="13">
        <f t="shared" ref="F29:F30" si="10">C29/C21</f>
        <v>1.1325198609527298</v>
      </c>
      <c r="G29" s="13">
        <f t="shared" ref="G29:G30" si="11">D29/D21</f>
        <v>1.1299309805994409</v>
      </c>
      <c r="H29" s="13">
        <f t="shared" ref="H29:H30" si="12">E29/E21</f>
        <v>1.0048278209602433</v>
      </c>
    </row>
    <row r="30" spans="1:8" x14ac:dyDescent="0.55000000000000004">
      <c r="B30" t="str">
        <f t="shared" si="9"/>
        <v>BIOM Total (MT/ha/yr)</v>
      </c>
      <c r="C30">
        <f>SUM(C28:C29)</f>
        <v>9.6523724656281544</v>
      </c>
      <c r="D30">
        <f>SUM(D28:D29)</f>
        <v>14.615079851997647</v>
      </c>
      <c r="E30">
        <f t="shared" ref="E30" si="13">SUM(E28:E29)</f>
        <v>10.418890482468331</v>
      </c>
      <c r="F30" s="13">
        <f t="shared" si="10"/>
        <v>1.153121665385674</v>
      </c>
      <c r="G30" s="13">
        <f t="shared" si="11"/>
        <v>1.0637909371749319</v>
      </c>
      <c r="H30" s="13">
        <f t="shared" si="12"/>
        <v>1.001790886072347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F49F-D7A7-4FDA-92DD-326744451984}">
  <dimension ref="A1:I49"/>
  <sheetViews>
    <sheetView tabSelected="1" topLeftCell="A17" workbookViewId="0">
      <selection activeCell="G30" sqref="G30"/>
    </sheetView>
  </sheetViews>
  <sheetFormatPr defaultRowHeight="14.4" x14ac:dyDescent="0.55000000000000004"/>
  <cols>
    <col min="1" max="1" width="17.41796875" customWidth="1"/>
    <col min="2" max="2" width="27.578125" customWidth="1"/>
    <col min="3" max="3" width="11.68359375" customWidth="1"/>
    <col min="4" max="4" width="13.83984375" customWidth="1"/>
    <col min="5" max="5" width="9.26171875" customWidth="1"/>
    <col min="6" max="7" width="11.26171875" customWidth="1"/>
    <col min="8" max="8" width="16.83984375" customWidth="1"/>
  </cols>
  <sheetData>
    <row r="1" spans="1:9" x14ac:dyDescent="0.55000000000000004">
      <c r="A1" s="1" t="s">
        <v>67</v>
      </c>
      <c r="B1" s="1"/>
      <c r="C1" s="2" t="s">
        <v>0</v>
      </c>
      <c r="D1" s="2" t="s">
        <v>58</v>
      </c>
      <c r="E1" s="2" t="s">
        <v>2</v>
      </c>
      <c r="H1" t="s">
        <v>60</v>
      </c>
      <c r="I1">
        <v>170</v>
      </c>
    </row>
    <row r="2" spans="1:9" x14ac:dyDescent="0.55000000000000004">
      <c r="A2">
        <v>2020</v>
      </c>
      <c r="B2" t="s">
        <v>13</v>
      </c>
      <c r="C2">
        <f>Herd_decision_tree!B10</f>
        <v>4.4039397153257696</v>
      </c>
      <c r="D2">
        <f>Herd_decision_tree!C10</f>
        <v>4.3360100318823802</v>
      </c>
      <c r="E2">
        <v>0</v>
      </c>
      <c r="H2" t="s">
        <v>62</v>
      </c>
      <c r="I2">
        <v>200</v>
      </c>
    </row>
    <row r="3" spans="1:9" x14ac:dyDescent="0.55000000000000004">
      <c r="B3" t="s">
        <v>16</v>
      </c>
      <c r="C3">
        <v>0</v>
      </c>
      <c r="D3">
        <f>Herd_decision_tree!C14</f>
        <v>3.0785078064937821</v>
      </c>
      <c r="E3">
        <f>Herd_decision_tree!D14</f>
        <v>2.5784478152426238</v>
      </c>
      <c r="H3" t="s">
        <v>84</v>
      </c>
      <c r="I3">
        <v>35</v>
      </c>
    </row>
    <row r="4" spans="1:9" x14ac:dyDescent="0.55000000000000004">
      <c r="B4" t="s">
        <v>59</v>
      </c>
      <c r="C4">
        <v>0</v>
      </c>
      <c r="D4">
        <v>0</v>
      </c>
      <c r="E4">
        <f>Herd_decision_tree!D18</f>
        <v>0.97312806514575934</v>
      </c>
      <c r="H4" t="s">
        <v>94</v>
      </c>
      <c r="I4">
        <f>0.035</f>
        <v>3.5000000000000003E-2</v>
      </c>
    </row>
    <row r="5" spans="1:9" x14ac:dyDescent="0.55000000000000004">
      <c r="B5" t="s">
        <v>22</v>
      </c>
      <c r="C5">
        <f>Herd_decision_tree!B29</f>
        <v>6.591728699274485E-2</v>
      </c>
      <c r="D5">
        <f>Herd_decision_tree!C29</f>
        <v>0.30464940632304843</v>
      </c>
      <c r="E5">
        <f>Herd_decision_tree!D29</f>
        <v>0.49396770248302452</v>
      </c>
      <c r="H5" t="s">
        <v>95</v>
      </c>
      <c r="I5">
        <f>0.045</f>
        <v>4.4999999999999998E-2</v>
      </c>
    </row>
    <row r="6" spans="1:9" x14ac:dyDescent="0.55000000000000004">
      <c r="B6" t="s">
        <v>23</v>
      </c>
      <c r="C6">
        <f>Herd_decision_tree!B25</f>
        <v>0.21006477822739511</v>
      </c>
      <c r="D6">
        <f>Herd_decision_tree!C25</f>
        <v>0.2799697964398678</v>
      </c>
      <c r="E6">
        <f>Herd_decision_tree!D25</f>
        <v>0.24315396334614986</v>
      </c>
      <c r="H6" t="s">
        <v>96</v>
      </c>
      <c r="I6">
        <v>8.5000000000000006E-2</v>
      </c>
    </row>
    <row r="7" spans="1:9" x14ac:dyDescent="0.55000000000000004">
      <c r="B7" t="s">
        <v>61</v>
      </c>
      <c r="C7">
        <f>Herd_decision_tree!B35</f>
        <v>3.1015739695259125E-2</v>
      </c>
      <c r="D7">
        <f>Herd_decision_tree!C35</f>
        <v>1.5128832774689749</v>
      </c>
      <c r="E7">
        <f>Herd_decision_tree!D35</f>
        <v>6.5423954973696503</v>
      </c>
      <c r="H7" t="s">
        <v>63</v>
      </c>
      <c r="I7">
        <f>0.02</f>
        <v>0.02</v>
      </c>
    </row>
    <row r="8" spans="1:9" x14ac:dyDescent="0.55000000000000004">
      <c r="B8" t="s">
        <v>83</v>
      </c>
      <c r="C8">
        <f>Herd_decision_tree!B5</f>
        <v>12.08406494394157</v>
      </c>
      <c r="D8">
        <f>Herd_decision_tree!C5</f>
        <v>9.8853686742266191</v>
      </c>
      <c r="E8">
        <f>Herd_decision_tree!D5</f>
        <v>9.3043172773579848</v>
      </c>
    </row>
    <row r="10" spans="1:9" x14ac:dyDescent="0.55000000000000004">
      <c r="B10" t="s">
        <v>64</v>
      </c>
      <c r="C10">
        <f>SUM(C2:C6)*$I1*1000000</f>
        <v>795586702.69280469</v>
      </c>
      <c r="D10">
        <f>SUM(D2:D6)*$I1*1000000</f>
        <v>1359853296.9936435</v>
      </c>
      <c r="E10">
        <f>SUM(E2:E6)*$I1*1000000</f>
        <v>729078582.85698473</v>
      </c>
    </row>
    <row r="11" spans="1:9" x14ac:dyDescent="0.55000000000000004">
      <c r="B11" t="s">
        <v>65</v>
      </c>
      <c r="C11">
        <f t="shared" ref="C11:E11" si="0">C7*$I$2*1000000</f>
        <v>6203147.9390518256</v>
      </c>
      <c r="D11">
        <f t="shared" si="0"/>
        <v>302576655.49379498</v>
      </c>
      <c r="E11">
        <f t="shared" si="0"/>
        <v>1308479099.4739301</v>
      </c>
    </row>
    <row r="12" spans="1:9" x14ac:dyDescent="0.55000000000000004">
      <c r="B12" t="s">
        <v>85</v>
      </c>
      <c r="C12">
        <f>C8*$I$3*1000000</f>
        <v>422942273.03795493</v>
      </c>
      <c r="D12">
        <f>D8*$I$3*1000000</f>
        <v>345987903.59793168</v>
      </c>
      <c r="E12">
        <f>E8*$I$3*1000000</f>
        <v>325651104.70752943</v>
      </c>
    </row>
    <row r="14" spans="1:9" x14ac:dyDescent="0.55000000000000004">
      <c r="B14" s="24" t="s">
        <v>77</v>
      </c>
      <c r="C14" s="25">
        <f>365*(C10+C11+C12)*(1-$I4)*($I7)/1000/1000000</f>
        <v>8.6276254451919883</v>
      </c>
      <c r="D14" s="25">
        <f>365*(D10+D11+D12)*(1-$I5)*($I7)/1000/1000000</f>
        <v>14.001685083699156</v>
      </c>
      <c r="E14" s="25">
        <f>365*(E10+E11+E12)*(1-$I6)*($I7)/1000/1000000</f>
        <v>15.785053093023292</v>
      </c>
    </row>
    <row r="15" spans="1:9" x14ac:dyDescent="0.55000000000000004">
      <c r="B15" s="1"/>
    </row>
    <row r="16" spans="1:9" x14ac:dyDescent="0.55000000000000004">
      <c r="B16" s="18" t="s">
        <v>78</v>
      </c>
      <c r="C16" s="19">
        <f>NPP!C22</f>
        <v>8.3706453146900284</v>
      </c>
      <c r="D16" s="19">
        <f>NPP!D22</f>
        <v>13.738676784378654</v>
      </c>
      <c r="E16" s="19">
        <f>NPP!E22</f>
        <v>10.400264793101645</v>
      </c>
    </row>
    <row r="17" spans="1:5" x14ac:dyDescent="0.55000000000000004">
      <c r="B17" s="1"/>
    </row>
    <row r="18" spans="1:5" x14ac:dyDescent="0.55000000000000004">
      <c r="B18" s="17" t="s">
        <v>82</v>
      </c>
      <c r="C18" s="6">
        <f>C16/C14</f>
        <v>0.97021426902054841</v>
      </c>
      <c r="D18" s="6">
        <f t="shared" ref="D18" si="1">D16/D14</f>
        <v>0.98121595381210958</v>
      </c>
      <c r="E18" s="6">
        <f>E16/E14</f>
        <v>0.65886790065333223</v>
      </c>
    </row>
    <row r="19" spans="1:5" x14ac:dyDescent="0.55000000000000004">
      <c r="B19" s="1"/>
    </row>
    <row r="21" spans="1:5" x14ac:dyDescent="0.55000000000000004">
      <c r="A21" s="1" t="s">
        <v>68</v>
      </c>
      <c r="B21" t="s">
        <v>13</v>
      </c>
      <c r="C21">
        <f>C2+C2*30*Validate_2020!$G2/100</f>
        <v>4.9101110574562359</v>
      </c>
      <c r="D21">
        <f>D2+D2*30*Validate_2020!$G2/100</f>
        <v>4.8343738059575028</v>
      </c>
      <c r="E21">
        <f>E2+E2*30*Validate_2020!$G2/100</f>
        <v>0</v>
      </c>
    </row>
    <row r="22" spans="1:5" x14ac:dyDescent="0.55000000000000004">
      <c r="B22" t="s">
        <v>16</v>
      </c>
      <c r="C22">
        <f>C3+C3*30*Validate_2020!$G3/100</f>
        <v>0</v>
      </c>
      <c r="D22">
        <f>D3+D3*30*Validate_2020!$G3/100</f>
        <v>5.6598758055402012</v>
      </c>
      <c r="E22">
        <f>E3+E3*30*Validate_2020!$G3/100</f>
        <v>4.7405091436038855</v>
      </c>
    </row>
    <row r="23" spans="1:5" x14ac:dyDescent="0.55000000000000004">
      <c r="B23" t="s">
        <v>59</v>
      </c>
      <c r="C23">
        <f>C4+C4*30*Validate_2020!$G4/100</f>
        <v>0</v>
      </c>
      <c r="D23">
        <f>D4+D4*30*Validate_2020!$G4/100</f>
        <v>0</v>
      </c>
      <c r="E23">
        <f>E4+E4*30*Validate_2020!$G4/100</f>
        <v>1.3685845847805689</v>
      </c>
    </row>
    <row r="24" spans="1:5" x14ac:dyDescent="0.55000000000000004">
      <c r="B24" t="s">
        <v>22</v>
      </c>
      <c r="C24">
        <f>C5+C5*30*Validate_2020!$G5/100</f>
        <v>8.6428783211231944E-2</v>
      </c>
      <c r="D24">
        <f>D5+D5*30*Validate_2020!$G5/100</f>
        <v>0.39944722690761403</v>
      </c>
      <c r="E24">
        <f>E5+E5*30*Validate_2020!$G5/100</f>
        <v>0.6476757375641784</v>
      </c>
    </row>
    <row r="25" spans="1:5" x14ac:dyDescent="0.55000000000000004">
      <c r="B25" t="s">
        <v>23</v>
      </c>
      <c r="C25">
        <f>C6+C6*30*Validate_2020!$G6/100</f>
        <v>5.6591387404983573</v>
      </c>
      <c r="D25">
        <f>D6+D6*30*Validate_2020!$G6/100</f>
        <v>7.5423778063697817</v>
      </c>
      <c r="E25">
        <f>E6+E6*30*Validate_2020!$G6/100</f>
        <v>6.5505603818473022</v>
      </c>
    </row>
    <row r="26" spans="1:5" x14ac:dyDescent="0.55000000000000004">
      <c r="B26" t="s">
        <v>61</v>
      </c>
      <c r="C26">
        <f>C7+C7*30*Validate_2020!G8/100</f>
        <v>3.1015739695259125E-2</v>
      </c>
      <c r="D26">
        <f>D7+D7*30*Validate_2020!H8/100</f>
        <v>1.5565413990119166</v>
      </c>
      <c r="E26">
        <f>E7+E7*30*Validate_2020!I8/100</f>
        <v>6.5423954973696503</v>
      </c>
    </row>
    <row r="27" spans="1:5" x14ac:dyDescent="0.55000000000000004">
      <c r="B27" t="s">
        <v>83</v>
      </c>
      <c r="C27">
        <f>C8+C8*30*1.35*Validate_2020!$G7/100</f>
        <v>23.230803238425466</v>
      </c>
      <c r="D27">
        <f>D8+D8*30*1.15*Validate_2020!$G7/100</f>
        <v>17.653055309928241</v>
      </c>
      <c r="E27">
        <f>E8+E8*30*0.8*Validate_2020!$G7/100</f>
        <v>14.390307067894684</v>
      </c>
    </row>
    <row r="30" spans="1:5" x14ac:dyDescent="0.55000000000000004">
      <c r="B30" t="s">
        <v>64</v>
      </c>
      <c r="C30">
        <f>SUM(C21:C25)*$I1*1000000</f>
        <v>1811465358.7981901</v>
      </c>
      <c r="D30">
        <f>SUM(D21:D25)*$I1*1000000</f>
        <v>3134132689.6117673</v>
      </c>
      <c r="E30">
        <f>SUM(E21:E25)*$I1*1000000</f>
        <v>2262246074.125309</v>
      </c>
    </row>
    <row r="31" spans="1:5" x14ac:dyDescent="0.55000000000000004">
      <c r="B31" t="s">
        <v>65</v>
      </c>
      <c r="C31">
        <f t="shared" ref="C31:E32" si="2">C26*$I2*1000000</f>
        <v>6203147.9390518256</v>
      </c>
      <c r="D31">
        <f t="shared" si="2"/>
        <v>311308279.8023833</v>
      </c>
      <c r="E31">
        <f t="shared" si="2"/>
        <v>1308479099.4739301</v>
      </c>
    </row>
    <row r="32" spans="1:5" x14ac:dyDescent="0.55000000000000004">
      <c r="B32" t="s">
        <v>85</v>
      </c>
      <c r="C32">
        <f t="shared" si="2"/>
        <v>813078113.34489131</v>
      </c>
      <c r="D32">
        <f t="shared" si="2"/>
        <v>617856935.8474884</v>
      </c>
      <c r="E32">
        <f t="shared" si="2"/>
        <v>503660747.37631392</v>
      </c>
    </row>
    <row r="34" spans="1:5" x14ac:dyDescent="0.55000000000000004">
      <c r="B34" s="24" t="s">
        <v>66</v>
      </c>
      <c r="C34" s="26">
        <f>365*(C30+C31+C32)*(1-$I4)*($I7)/1000/1000000</f>
        <v>18.532294565168584</v>
      </c>
      <c r="D34" s="26">
        <f>365*(D30+D31+D32)*(1-$I5)*($I7)/1000/1000000</f>
        <v>28.327281346531521</v>
      </c>
      <c r="E34" s="26">
        <f>365*(E30+E31+E32)*(1-$I6)*($I7)/1000/1000000</f>
        <v>27.214860759156213</v>
      </c>
    </row>
    <row r="35" spans="1:5" x14ac:dyDescent="0.55000000000000004">
      <c r="C35" s="13"/>
      <c r="D35" s="13"/>
      <c r="E35" s="13"/>
    </row>
    <row r="36" spans="1:5" x14ac:dyDescent="0.55000000000000004">
      <c r="B36" s="18" t="s">
        <v>78</v>
      </c>
      <c r="C36" s="27">
        <f>NPP!C26</f>
        <v>9.070480493547409</v>
      </c>
      <c r="D36" s="27">
        <f>NPP!D26</f>
        <v>14.41613998890076</v>
      </c>
      <c r="E36" s="27">
        <f>NPP!E26</f>
        <v>10.362402090181975</v>
      </c>
    </row>
    <row r="37" spans="1:5" x14ac:dyDescent="0.55000000000000004">
      <c r="B37" s="1"/>
    </row>
    <row r="38" spans="1:5" x14ac:dyDescent="0.55000000000000004">
      <c r="B38" s="31" t="s">
        <v>82</v>
      </c>
      <c r="C38" s="31"/>
      <c r="D38" s="31"/>
      <c r="E38" s="31"/>
    </row>
    <row r="39" spans="1:5" x14ac:dyDescent="0.55000000000000004">
      <c r="B39" s="20">
        <v>2050</v>
      </c>
      <c r="C39" s="21">
        <f>C36/C34</f>
        <v>0.48944184767035603</v>
      </c>
      <c r="D39" s="21">
        <f t="shared" ref="D39:E39" si="3">D36/D34</f>
        <v>0.50891364450213705</v>
      </c>
      <c r="E39" s="21">
        <f t="shared" si="3"/>
        <v>0.38076263486652717</v>
      </c>
    </row>
    <row r="40" spans="1:5" x14ac:dyDescent="0.55000000000000004">
      <c r="A40" s="1"/>
      <c r="B40" s="20" t="s">
        <v>88</v>
      </c>
      <c r="C40" s="21">
        <f>(C39+C18)/2</f>
        <v>0.72982805834545217</v>
      </c>
      <c r="D40" s="21">
        <f t="shared" ref="D40:E40" si="4">(D39+D18)/2</f>
        <v>0.74506479915712331</v>
      </c>
      <c r="E40" s="21">
        <f t="shared" si="4"/>
        <v>0.5198152677599297</v>
      </c>
    </row>
    <row r="41" spans="1:5" x14ac:dyDescent="0.55000000000000004">
      <c r="B41" s="3"/>
      <c r="C41" s="3"/>
      <c r="D41" s="3"/>
      <c r="E41" s="3"/>
    </row>
    <row r="42" spans="1:5" x14ac:dyDescent="0.55000000000000004">
      <c r="B42" s="3"/>
      <c r="C42" s="3"/>
      <c r="D42" s="3"/>
      <c r="E42" s="3"/>
    </row>
    <row r="43" spans="1:5" x14ac:dyDescent="0.55000000000000004">
      <c r="A43" s="1" t="s">
        <v>69</v>
      </c>
      <c r="B43" s="28" t="s">
        <v>66</v>
      </c>
      <c r="C43" s="29">
        <f>C34</f>
        <v>18.532294565168584</v>
      </c>
      <c r="D43" s="29">
        <f t="shared" ref="D43:E43" si="5">D34</f>
        <v>28.327281346531521</v>
      </c>
      <c r="E43" s="29">
        <f t="shared" si="5"/>
        <v>27.214860759156213</v>
      </c>
    </row>
    <row r="44" spans="1:5" x14ac:dyDescent="0.55000000000000004">
      <c r="B44" s="3"/>
      <c r="C44" s="3"/>
      <c r="D44" s="3"/>
      <c r="E44" s="3"/>
    </row>
    <row r="45" spans="1:5" x14ac:dyDescent="0.55000000000000004">
      <c r="B45" s="22" t="s">
        <v>78</v>
      </c>
      <c r="C45" s="23">
        <f>NPP!C30</f>
        <v>9.6523724656281544</v>
      </c>
      <c r="D45" s="23">
        <f>NPP!D30</f>
        <v>14.615079851997647</v>
      </c>
      <c r="E45" s="23">
        <f>NPP!E30</f>
        <v>10.418890482468331</v>
      </c>
    </row>
    <row r="46" spans="1:5" x14ac:dyDescent="0.55000000000000004">
      <c r="B46" s="3"/>
      <c r="C46" s="3"/>
      <c r="D46" s="3"/>
      <c r="E46" s="3"/>
    </row>
    <row r="47" spans="1:5" x14ac:dyDescent="0.55000000000000004">
      <c r="B47" s="31" t="s">
        <v>82</v>
      </c>
      <c r="C47" s="31"/>
      <c r="D47" s="31"/>
      <c r="E47" s="31"/>
    </row>
    <row r="48" spans="1:5" x14ac:dyDescent="0.55000000000000004">
      <c r="B48" s="20">
        <v>2050</v>
      </c>
      <c r="C48" s="21">
        <f>C45/C43</f>
        <v>0.52084065638422194</v>
      </c>
      <c r="D48" s="21">
        <f t="shared" ref="D48" si="6">D45/D43</f>
        <v>0.51593655152463691</v>
      </c>
      <c r="E48" s="21">
        <f>E45/E43</f>
        <v>0.3828382799630155</v>
      </c>
    </row>
    <row r="49" spans="2:5" x14ac:dyDescent="0.55000000000000004">
      <c r="B49" s="20" t="s">
        <v>88</v>
      </c>
      <c r="C49" s="21">
        <f>(C18+C48)*0.5</f>
        <v>0.74552746270238512</v>
      </c>
      <c r="D49" s="21">
        <f t="shared" ref="D49:E49" si="7">(D18+D48)*0.5</f>
        <v>0.74857625266837324</v>
      </c>
      <c r="E49" s="21">
        <f t="shared" si="7"/>
        <v>0.52085309030817384</v>
      </c>
    </row>
  </sheetData>
  <mergeCells count="2">
    <mergeCell ref="B47:E47"/>
    <mergeCell ref="B38:E3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D4EB7-C836-4DCC-ABF5-09A401451DC6}">
  <dimension ref="A1:F67"/>
  <sheetViews>
    <sheetView workbookViewId="0">
      <selection activeCell="H57" sqref="H57"/>
    </sheetView>
  </sheetViews>
  <sheetFormatPr defaultRowHeight="14.4" x14ac:dyDescent="0.55000000000000004"/>
  <sheetData>
    <row r="1" spans="1:6" x14ac:dyDescent="0.55000000000000004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117</v>
      </c>
    </row>
    <row r="2" spans="1:6" x14ac:dyDescent="0.55000000000000004">
      <c r="A2" t="s">
        <v>102</v>
      </c>
      <c r="B2" t="s">
        <v>103</v>
      </c>
      <c r="C2" t="s">
        <v>104</v>
      </c>
      <c r="D2" t="s">
        <v>105</v>
      </c>
      <c r="E2" t="s">
        <v>106</v>
      </c>
      <c r="F2" s="32">
        <f>Herd_decision_tree!B11</f>
        <v>3.8560896147392438</v>
      </c>
    </row>
    <row r="3" spans="1:6" x14ac:dyDescent="0.55000000000000004">
      <c r="A3" t="s">
        <v>102</v>
      </c>
      <c r="B3" t="s">
        <v>103</v>
      </c>
      <c r="C3" t="s">
        <v>104</v>
      </c>
      <c r="D3" t="s">
        <v>107</v>
      </c>
      <c r="E3" t="s">
        <v>106</v>
      </c>
      <c r="F3">
        <f>F2</f>
        <v>3.8560896147392438</v>
      </c>
    </row>
    <row r="4" spans="1:6" x14ac:dyDescent="0.55000000000000004">
      <c r="A4" t="s">
        <v>102</v>
      </c>
      <c r="B4" t="s">
        <v>103</v>
      </c>
      <c r="C4" t="s">
        <v>104</v>
      </c>
      <c r="D4" t="s">
        <v>108</v>
      </c>
      <c r="E4" t="s">
        <v>106</v>
      </c>
      <c r="F4">
        <f>F3</f>
        <v>3.8560896147392438</v>
      </c>
    </row>
    <row r="5" spans="1:6" x14ac:dyDescent="0.55000000000000004">
      <c r="A5" t="s">
        <v>102</v>
      </c>
      <c r="B5" t="s">
        <v>103</v>
      </c>
      <c r="C5" t="s">
        <v>109</v>
      </c>
      <c r="D5" t="str">
        <f>D2</f>
        <v>male.finisher</v>
      </c>
      <c r="E5" t="s">
        <v>106</v>
      </c>
      <c r="F5" s="32">
        <f>Herd_decision_tree!C11</f>
        <v>3.7966103839162124</v>
      </c>
    </row>
    <row r="6" spans="1:6" x14ac:dyDescent="0.55000000000000004">
      <c r="A6" t="s">
        <v>102</v>
      </c>
      <c r="B6" t="s">
        <v>103</v>
      </c>
      <c r="C6" t="s">
        <v>109</v>
      </c>
      <c r="D6" t="str">
        <f t="shared" ref="D6:D67" si="0">D3</f>
        <v>female.finisher</v>
      </c>
      <c r="E6" t="s">
        <v>106</v>
      </c>
      <c r="F6">
        <f>F5</f>
        <v>3.7966103839162124</v>
      </c>
    </row>
    <row r="7" spans="1:6" x14ac:dyDescent="0.55000000000000004">
      <c r="A7" t="s">
        <v>102</v>
      </c>
      <c r="B7" t="s">
        <v>103</v>
      </c>
      <c r="C7" t="s">
        <v>109</v>
      </c>
      <c r="D7" t="str">
        <f t="shared" si="0"/>
        <v>female.breeder</v>
      </c>
      <c r="E7" t="s">
        <v>106</v>
      </c>
      <c r="F7">
        <f>F6</f>
        <v>3.7966103839162124</v>
      </c>
    </row>
    <row r="8" spans="1:6" x14ac:dyDescent="0.55000000000000004">
      <c r="A8" t="s">
        <v>110</v>
      </c>
      <c r="B8" t="s">
        <v>103</v>
      </c>
      <c r="C8" t="s">
        <v>104</v>
      </c>
      <c r="D8" t="str">
        <f t="shared" si="0"/>
        <v>male.finisher</v>
      </c>
      <c r="E8" t="s">
        <v>106</v>
      </c>
      <c r="F8" s="32">
        <f>Herd_decision_tree!B12</f>
        <v>0.54785010058652572</v>
      </c>
    </row>
    <row r="9" spans="1:6" x14ac:dyDescent="0.55000000000000004">
      <c r="A9" t="s">
        <v>110</v>
      </c>
      <c r="B9" t="s">
        <v>103</v>
      </c>
      <c r="C9" t="s">
        <v>104</v>
      </c>
      <c r="D9" t="str">
        <f t="shared" si="0"/>
        <v>female.finisher</v>
      </c>
      <c r="E9" t="s">
        <v>106</v>
      </c>
      <c r="F9">
        <f>F8</f>
        <v>0.54785010058652572</v>
      </c>
    </row>
    <row r="10" spans="1:6" x14ac:dyDescent="0.55000000000000004">
      <c r="A10" t="s">
        <v>110</v>
      </c>
      <c r="B10" t="s">
        <v>103</v>
      </c>
      <c r="C10" t="s">
        <v>104</v>
      </c>
      <c r="D10" t="str">
        <f t="shared" si="0"/>
        <v>female.breeder</v>
      </c>
      <c r="E10" t="s">
        <v>106</v>
      </c>
      <c r="F10">
        <f>F9</f>
        <v>0.54785010058652572</v>
      </c>
    </row>
    <row r="11" spans="1:6" x14ac:dyDescent="0.55000000000000004">
      <c r="A11" t="s">
        <v>110</v>
      </c>
      <c r="B11" t="s">
        <v>103</v>
      </c>
      <c r="C11" t="s">
        <v>109</v>
      </c>
      <c r="D11" t="str">
        <f t="shared" si="0"/>
        <v>male.finisher</v>
      </c>
      <c r="E11" t="s">
        <v>106</v>
      </c>
      <c r="F11" s="32">
        <f>Herd_decision_tree!C12</f>
        <v>0.53939964796616813</v>
      </c>
    </row>
    <row r="12" spans="1:6" x14ac:dyDescent="0.55000000000000004">
      <c r="A12" t="s">
        <v>110</v>
      </c>
      <c r="B12" t="s">
        <v>103</v>
      </c>
      <c r="C12" t="s">
        <v>109</v>
      </c>
      <c r="D12" t="str">
        <f t="shared" si="0"/>
        <v>female.finisher</v>
      </c>
      <c r="E12" t="s">
        <v>106</v>
      </c>
      <c r="F12">
        <f>F11</f>
        <v>0.53939964796616813</v>
      </c>
    </row>
    <row r="13" spans="1:6" x14ac:dyDescent="0.55000000000000004">
      <c r="A13" t="s">
        <v>110</v>
      </c>
      <c r="B13" t="s">
        <v>103</v>
      </c>
      <c r="C13" t="s">
        <v>109</v>
      </c>
      <c r="D13" t="str">
        <f t="shared" si="0"/>
        <v>female.breeder</v>
      </c>
      <c r="E13" t="s">
        <v>106</v>
      </c>
      <c r="F13">
        <f>F12</f>
        <v>0.53939964796616813</v>
      </c>
    </row>
    <row r="14" spans="1:6" x14ac:dyDescent="0.55000000000000004">
      <c r="A14" t="s">
        <v>102</v>
      </c>
      <c r="B14" t="s">
        <v>111</v>
      </c>
      <c r="C14" t="s">
        <v>109</v>
      </c>
      <c r="D14" t="str">
        <f t="shared" si="0"/>
        <v>male.finisher</v>
      </c>
      <c r="E14" t="s">
        <v>106</v>
      </c>
      <c r="F14" s="32">
        <f>Herd_decision_tree!C15</f>
        <v>2.8630122600392172</v>
      </c>
    </row>
    <row r="15" spans="1:6" x14ac:dyDescent="0.55000000000000004">
      <c r="A15" t="s">
        <v>102</v>
      </c>
      <c r="B15" t="s">
        <v>111</v>
      </c>
      <c r="C15" t="s">
        <v>109</v>
      </c>
      <c r="D15" t="str">
        <f t="shared" si="0"/>
        <v>female.finisher</v>
      </c>
      <c r="E15" t="s">
        <v>106</v>
      </c>
      <c r="F15">
        <f>F14</f>
        <v>2.8630122600392172</v>
      </c>
    </row>
    <row r="16" spans="1:6" x14ac:dyDescent="0.55000000000000004">
      <c r="A16" t="s">
        <v>102</v>
      </c>
      <c r="B16" t="s">
        <v>111</v>
      </c>
      <c r="C16" t="s">
        <v>109</v>
      </c>
      <c r="D16" t="str">
        <f t="shared" si="0"/>
        <v>female.breeder</v>
      </c>
      <c r="E16" t="s">
        <v>106</v>
      </c>
      <c r="F16">
        <f>F15</f>
        <v>2.8630122600392172</v>
      </c>
    </row>
    <row r="17" spans="1:6" x14ac:dyDescent="0.55000000000000004">
      <c r="A17" t="s">
        <v>102</v>
      </c>
      <c r="B17" t="s">
        <v>111</v>
      </c>
      <c r="C17" t="s">
        <v>112</v>
      </c>
      <c r="D17" t="str">
        <f t="shared" si="0"/>
        <v>male.finisher</v>
      </c>
      <c r="E17" t="s">
        <v>106</v>
      </c>
      <c r="F17" s="32">
        <f>Herd_decision_tree!D15</f>
        <v>2.3979564681756398</v>
      </c>
    </row>
    <row r="18" spans="1:6" x14ac:dyDescent="0.55000000000000004">
      <c r="A18" t="s">
        <v>102</v>
      </c>
      <c r="B18" t="s">
        <v>111</v>
      </c>
      <c r="C18" t="s">
        <v>112</v>
      </c>
      <c r="D18" t="str">
        <f t="shared" si="0"/>
        <v>female.finisher</v>
      </c>
      <c r="E18" t="s">
        <v>106</v>
      </c>
      <c r="F18">
        <f>F17</f>
        <v>2.3979564681756398</v>
      </c>
    </row>
    <row r="19" spans="1:6" x14ac:dyDescent="0.55000000000000004">
      <c r="A19" t="s">
        <v>102</v>
      </c>
      <c r="B19" t="s">
        <v>111</v>
      </c>
      <c r="C19" t="s">
        <v>112</v>
      </c>
      <c r="D19" t="str">
        <f t="shared" si="0"/>
        <v>female.breeder</v>
      </c>
      <c r="E19" t="s">
        <v>106</v>
      </c>
      <c r="F19">
        <f>F18</f>
        <v>2.3979564681756398</v>
      </c>
    </row>
    <row r="20" spans="1:6" x14ac:dyDescent="0.55000000000000004">
      <c r="A20" t="s">
        <v>110</v>
      </c>
      <c r="B20" t="s">
        <v>111</v>
      </c>
      <c r="C20" t="s">
        <v>109</v>
      </c>
      <c r="D20" t="str">
        <f t="shared" si="0"/>
        <v>male.finisher</v>
      </c>
      <c r="E20" t="s">
        <v>106</v>
      </c>
      <c r="F20" s="32">
        <f>Herd_decision_tree!C16</f>
        <v>0.21549554645456476</v>
      </c>
    </row>
    <row r="21" spans="1:6" x14ac:dyDescent="0.55000000000000004">
      <c r="A21" t="s">
        <v>110</v>
      </c>
      <c r="B21" t="s">
        <v>111</v>
      </c>
      <c r="C21" t="s">
        <v>109</v>
      </c>
      <c r="D21" t="str">
        <f t="shared" si="0"/>
        <v>female.finisher</v>
      </c>
      <c r="E21" t="s">
        <v>106</v>
      </c>
      <c r="F21">
        <f>F20</f>
        <v>0.21549554645456476</v>
      </c>
    </row>
    <row r="22" spans="1:6" x14ac:dyDescent="0.55000000000000004">
      <c r="A22" t="s">
        <v>110</v>
      </c>
      <c r="B22" t="s">
        <v>111</v>
      </c>
      <c r="C22" t="s">
        <v>109</v>
      </c>
      <c r="D22" t="str">
        <f t="shared" si="0"/>
        <v>female.breeder</v>
      </c>
      <c r="E22" t="s">
        <v>106</v>
      </c>
      <c r="F22">
        <f>F21</f>
        <v>0.21549554645456476</v>
      </c>
    </row>
    <row r="23" spans="1:6" x14ac:dyDescent="0.55000000000000004">
      <c r="A23" t="s">
        <v>110</v>
      </c>
      <c r="B23" t="s">
        <v>111</v>
      </c>
      <c r="C23" t="s">
        <v>112</v>
      </c>
      <c r="D23" t="str">
        <f t="shared" si="0"/>
        <v>male.finisher</v>
      </c>
      <c r="E23" t="s">
        <v>106</v>
      </c>
      <c r="F23" s="32">
        <f>Herd_decision_tree!D16</f>
        <v>0.18049134706698369</v>
      </c>
    </row>
    <row r="24" spans="1:6" x14ac:dyDescent="0.55000000000000004">
      <c r="A24" t="s">
        <v>110</v>
      </c>
      <c r="B24" t="s">
        <v>111</v>
      </c>
      <c r="C24" t="s">
        <v>112</v>
      </c>
      <c r="D24" t="str">
        <f t="shared" si="0"/>
        <v>female.finisher</v>
      </c>
      <c r="E24" t="s">
        <v>106</v>
      </c>
      <c r="F24">
        <f>F23</f>
        <v>0.18049134706698369</v>
      </c>
    </row>
    <row r="25" spans="1:6" x14ac:dyDescent="0.55000000000000004">
      <c r="A25" t="s">
        <v>110</v>
      </c>
      <c r="B25" t="s">
        <v>111</v>
      </c>
      <c r="C25" t="s">
        <v>112</v>
      </c>
      <c r="D25" t="str">
        <f t="shared" si="0"/>
        <v>female.breeder</v>
      </c>
      <c r="E25" t="s">
        <v>106</v>
      </c>
      <c r="F25">
        <f>F24</f>
        <v>0.18049134706698369</v>
      </c>
    </row>
    <row r="26" spans="1:6" x14ac:dyDescent="0.55000000000000004">
      <c r="A26" t="s">
        <v>102</v>
      </c>
      <c r="B26" t="s">
        <v>113</v>
      </c>
      <c r="C26" t="s">
        <v>112</v>
      </c>
      <c r="D26" t="str">
        <f t="shared" si="0"/>
        <v>male.finisher</v>
      </c>
      <c r="E26" t="s">
        <v>106</v>
      </c>
      <c r="F26" s="32">
        <f>Herd_decision_tree!D19</f>
        <v>0.89527781993409861</v>
      </c>
    </row>
    <row r="27" spans="1:6" x14ac:dyDescent="0.55000000000000004">
      <c r="A27" t="s">
        <v>102</v>
      </c>
      <c r="B27" t="s">
        <v>113</v>
      </c>
      <c r="C27" t="s">
        <v>112</v>
      </c>
      <c r="D27" t="str">
        <f t="shared" si="0"/>
        <v>female.finisher</v>
      </c>
      <c r="E27" t="s">
        <v>106</v>
      </c>
      <c r="F27">
        <f>F26</f>
        <v>0.89527781993409861</v>
      </c>
    </row>
    <row r="28" spans="1:6" x14ac:dyDescent="0.55000000000000004">
      <c r="A28" t="s">
        <v>102</v>
      </c>
      <c r="B28" t="s">
        <v>113</v>
      </c>
      <c r="C28" t="s">
        <v>112</v>
      </c>
      <c r="D28" t="str">
        <f t="shared" si="0"/>
        <v>female.breeder</v>
      </c>
      <c r="E28" t="s">
        <v>106</v>
      </c>
      <c r="F28">
        <f>F27</f>
        <v>0.89527781993409861</v>
      </c>
    </row>
    <row r="29" spans="1:6" x14ac:dyDescent="0.55000000000000004">
      <c r="A29" t="s">
        <v>110</v>
      </c>
      <c r="B29" t="s">
        <v>113</v>
      </c>
      <c r="C29" t="s">
        <v>112</v>
      </c>
      <c r="D29" t="str">
        <f t="shared" si="0"/>
        <v>male.finisher</v>
      </c>
      <c r="E29" t="s">
        <v>106</v>
      </c>
      <c r="F29" s="32">
        <f>Herd_decision_tree!D20</f>
        <v>7.7850245211660743E-2</v>
      </c>
    </row>
    <row r="30" spans="1:6" x14ac:dyDescent="0.55000000000000004">
      <c r="A30" t="s">
        <v>110</v>
      </c>
      <c r="B30" t="s">
        <v>113</v>
      </c>
      <c r="C30" t="s">
        <v>112</v>
      </c>
      <c r="D30" t="str">
        <f t="shared" si="0"/>
        <v>female.finisher</v>
      </c>
      <c r="E30" t="s">
        <v>106</v>
      </c>
      <c r="F30">
        <f>F29</f>
        <v>7.7850245211660743E-2</v>
      </c>
    </row>
    <row r="31" spans="1:6" x14ac:dyDescent="0.55000000000000004">
      <c r="A31" t="s">
        <v>110</v>
      </c>
      <c r="B31" t="s">
        <v>113</v>
      </c>
      <c r="C31" t="s">
        <v>112</v>
      </c>
      <c r="D31" t="str">
        <f t="shared" si="0"/>
        <v>female.breeder</v>
      </c>
      <c r="E31" t="s">
        <v>106</v>
      </c>
      <c r="F31">
        <f>F30</f>
        <v>7.7850245211660743E-2</v>
      </c>
    </row>
    <row r="32" spans="1:6" x14ac:dyDescent="0.55000000000000004">
      <c r="A32" t="s">
        <v>110</v>
      </c>
      <c r="B32" t="s">
        <v>114</v>
      </c>
      <c r="C32" t="s">
        <v>104</v>
      </c>
      <c r="D32" t="str">
        <f t="shared" si="0"/>
        <v>male.finisher</v>
      </c>
      <c r="E32" t="s">
        <v>106</v>
      </c>
      <c r="F32" s="32">
        <f>Herd_decision_tree!B30</f>
        <v>4.4823755155066501E-2</v>
      </c>
    </row>
    <row r="33" spans="1:6" x14ac:dyDescent="0.55000000000000004">
      <c r="A33" t="s">
        <v>110</v>
      </c>
      <c r="B33" t="s">
        <v>114</v>
      </c>
      <c r="C33" t="s">
        <v>104</v>
      </c>
      <c r="D33" t="str">
        <f t="shared" si="0"/>
        <v>female.finisher</v>
      </c>
      <c r="E33" t="s">
        <v>106</v>
      </c>
      <c r="F33">
        <f>F32</f>
        <v>4.4823755155066501E-2</v>
      </c>
    </row>
    <row r="34" spans="1:6" x14ac:dyDescent="0.55000000000000004">
      <c r="A34" t="s">
        <v>110</v>
      </c>
      <c r="B34" t="s">
        <v>114</v>
      </c>
      <c r="C34" t="s">
        <v>104</v>
      </c>
      <c r="D34" t="str">
        <f t="shared" si="0"/>
        <v>female.breeder</v>
      </c>
      <c r="E34" t="s">
        <v>106</v>
      </c>
      <c r="F34">
        <f>F33</f>
        <v>4.4823755155066501E-2</v>
      </c>
    </row>
    <row r="35" spans="1:6" x14ac:dyDescent="0.55000000000000004">
      <c r="A35" t="s">
        <v>110</v>
      </c>
      <c r="B35" t="s">
        <v>114</v>
      </c>
      <c r="C35" t="s">
        <v>109</v>
      </c>
      <c r="D35" t="str">
        <f t="shared" si="0"/>
        <v>male.finisher</v>
      </c>
      <c r="E35" t="s">
        <v>106</v>
      </c>
      <c r="F35" s="32">
        <f>Herd_decision_tree!C30</f>
        <v>0.20716159629967296</v>
      </c>
    </row>
    <row r="36" spans="1:6" x14ac:dyDescent="0.55000000000000004">
      <c r="A36" t="s">
        <v>110</v>
      </c>
      <c r="B36" t="s">
        <v>114</v>
      </c>
      <c r="C36" t="s">
        <v>109</v>
      </c>
      <c r="D36" t="str">
        <f t="shared" si="0"/>
        <v>female.finisher</v>
      </c>
      <c r="E36" t="s">
        <v>106</v>
      </c>
      <c r="F36">
        <f>F35</f>
        <v>0.20716159629967296</v>
      </c>
    </row>
    <row r="37" spans="1:6" x14ac:dyDescent="0.55000000000000004">
      <c r="A37" t="s">
        <v>110</v>
      </c>
      <c r="B37" t="s">
        <v>114</v>
      </c>
      <c r="C37" t="s">
        <v>109</v>
      </c>
      <c r="D37" t="str">
        <f t="shared" si="0"/>
        <v>female.breeder</v>
      </c>
      <c r="E37" t="s">
        <v>106</v>
      </c>
      <c r="F37">
        <f>F36</f>
        <v>0.20716159629967296</v>
      </c>
    </row>
    <row r="38" spans="1:6" x14ac:dyDescent="0.55000000000000004">
      <c r="A38" t="s">
        <v>110</v>
      </c>
      <c r="B38" t="s">
        <v>114</v>
      </c>
      <c r="C38" t="s">
        <v>112</v>
      </c>
      <c r="D38" t="str">
        <f t="shared" si="0"/>
        <v>male.finisher</v>
      </c>
      <c r="E38" t="s">
        <v>106</v>
      </c>
      <c r="F38" s="32">
        <f>Herd_decision_tree!D30</f>
        <v>0.33589803768845672</v>
      </c>
    </row>
    <row r="39" spans="1:6" x14ac:dyDescent="0.55000000000000004">
      <c r="A39" t="s">
        <v>110</v>
      </c>
      <c r="B39" t="s">
        <v>114</v>
      </c>
      <c r="C39" t="s">
        <v>112</v>
      </c>
      <c r="D39" t="str">
        <f t="shared" si="0"/>
        <v>female.finisher</v>
      </c>
      <c r="E39" t="s">
        <v>106</v>
      </c>
      <c r="F39">
        <f>F38</f>
        <v>0.33589803768845672</v>
      </c>
    </row>
    <row r="40" spans="1:6" x14ac:dyDescent="0.55000000000000004">
      <c r="A40" t="s">
        <v>110</v>
      </c>
      <c r="B40" t="s">
        <v>114</v>
      </c>
      <c r="C40" t="s">
        <v>112</v>
      </c>
      <c r="D40" t="str">
        <f t="shared" si="0"/>
        <v>female.breeder</v>
      </c>
      <c r="E40" t="s">
        <v>106</v>
      </c>
      <c r="F40">
        <f>F39</f>
        <v>0.33589803768845672</v>
      </c>
    </row>
    <row r="41" spans="1:6" x14ac:dyDescent="0.55000000000000004">
      <c r="A41" t="s">
        <v>115</v>
      </c>
      <c r="B41" t="s">
        <v>114</v>
      </c>
      <c r="C41" t="s">
        <v>104</v>
      </c>
      <c r="D41" t="str">
        <f t="shared" si="0"/>
        <v>male.finisher</v>
      </c>
      <c r="E41" t="s">
        <v>106</v>
      </c>
      <c r="F41" s="32">
        <f>Herd_decision_tree!B31</f>
        <v>2.1093531837678349E-2</v>
      </c>
    </row>
    <row r="42" spans="1:6" x14ac:dyDescent="0.55000000000000004">
      <c r="A42" t="s">
        <v>115</v>
      </c>
      <c r="B42" t="s">
        <v>114</v>
      </c>
      <c r="C42" t="s">
        <v>104</v>
      </c>
      <c r="D42" t="str">
        <f t="shared" si="0"/>
        <v>female.finisher</v>
      </c>
      <c r="E42" t="s">
        <v>106</v>
      </c>
      <c r="F42">
        <f>F41</f>
        <v>2.1093531837678349E-2</v>
      </c>
    </row>
    <row r="43" spans="1:6" x14ac:dyDescent="0.55000000000000004">
      <c r="A43" t="s">
        <v>115</v>
      </c>
      <c r="B43" t="s">
        <v>114</v>
      </c>
      <c r="C43" t="s">
        <v>104</v>
      </c>
      <c r="D43" t="str">
        <f t="shared" si="0"/>
        <v>female.breeder</v>
      </c>
      <c r="E43" t="s">
        <v>106</v>
      </c>
      <c r="F43">
        <f>F42</f>
        <v>2.1093531837678349E-2</v>
      </c>
    </row>
    <row r="44" spans="1:6" x14ac:dyDescent="0.55000000000000004">
      <c r="A44" t="s">
        <v>115</v>
      </c>
      <c r="B44" t="s">
        <v>114</v>
      </c>
      <c r="C44" t="s">
        <v>109</v>
      </c>
      <c r="D44" t="str">
        <f t="shared" si="0"/>
        <v>male.finisher</v>
      </c>
      <c r="E44" t="s">
        <v>106</v>
      </c>
      <c r="F44" s="32">
        <f>Herd_decision_tree!C31</f>
        <v>9.748781002337549E-2</v>
      </c>
    </row>
    <row r="45" spans="1:6" x14ac:dyDescent="0.55000000000000004">
      <c r="A45" t="s">
        <v>115</v>
      </c>
      <c r="B45" t="s">
        <v>114</v>
      </c>
      <c r="C45" t="s">
        <v>109</v>
      </c>
      <c r="D45" t="str">
        <f t="shared" si="0"/>
        <v>female.finisher</v>
      </c>
      <c r="E45" t="s">
        <v>106</v>
      </c>
      <c r="F45">
        <f>F44</f>
        <v>9.748781002337549E-2</v>
      </c>
    </row>
    <row r="46" spans="1:6" x14ac:dyDescent="0.55000000000000004">
      <c r="A46" t="s">
        <v>115</v>
      </c>
      <c r="B46" t="s">
        <v>114</v>
      </c>
      <c r="C46" t="s">
        <v>109</v>
      </c>
      <c r="D46" t="str">
        <f t="shared" si="0"/>
        <v>female.breeder</v>
      </c>
      <c r="E46" t="s">
        <v>106</v>
      </c>
      <c r="F46">
        <f>F45</f>
        <v>9.748781002337549E-2</v>
      </c>
    </row>
    <row r="47" spans="1:6" x14ac:dyDescent="0.55000000000000004">
      <c r="A47" t="s">
        <v>115</v>
      </c>
      <c r="B47" t="s">
        <v>114</v>
      </c>
      <c r="C47" t="s">
        <v>112</v>
      </c>
      <c r="D47" t="str">
        <f t="shared" si="0"/>
        <v>male.finisher</v>
      </c>
      <c r="E47" t="s">
        <v>106</v>
      </c>
      <c r="F47" s="32">
        <f>Herd_decision_tree!D31</f>
        <v>0.15806966479456783</v>
      </c>
    </row>
    <row r="48" spans="1:6" x14ac:dyDescent="0.55000000000000004">
      <c r="A48" t="s">
        <v>115</v>
      </c>
      <c r="B48" t="s">
        <v>114</v>
      </c>
      <c r="C48" t="s">
        <v>112</v>
      </c>
      <c r="D48" t="str">
        <f t="shared" si="0"/>
        <v>female.finisher</v>
      </c>
      <c r="E48" t="s">
        <v>106</v>
      </c>
      <c r="F48">
        <f>F47</f>
        <v>0.15806966479456783</v>
      </c>
    </row>
    <row r="49" spans="1:6" x14ac:dyDescent="0.55000000000000004">
      <c r="A49" t="s">
        <v>115</v>
      </c>
      <c r="B49" t="s">
        <v>114</v>
      </c>
      <c r="C49" t="s">
        <v>112</v>
      </c>
      <c r="D49" t="str">
        <f t="shared" si="0"/>
        <v>female.breeder</v>
      </c>
      <c r="E49" t="s">
        <v>106</v>
      </c>
      <c r="F49">
        <f>F48</f>
        <v>0.15806966479456783</v>
      </c>
    </row>
    <row r="50" spans="1:6" x14ac:dyDescent="0.55000000000000004">
      <c r="A50" t="s">
        <v>110</v>
      </c>
      <c r="B50" t="s">
        <v>116</v>
      </c>
      <c r="C50" t="s">
        <v>104</v>
      </c>
      <c r="D50" t="str">
        <f t="shared" si="0"/>
        <v>male.finisher</v>
      </c>
      <c r="E50" t="s">
        <v>106</v>
      </c>
      <c r="F50" s="32">
        <f>Herd_decision_tree!B26</f>
        <v>0.14284404919462868</v>
      </c>
    </row>
    <row r="51" spans="1:6" x14ac:dyDescent="0.55000000000000004">
      <c r="A51" t="s">
        <v>110</v>
      </c>
      <c r="B51" t="s">
        <v>116</v>
      </c>
      <c r="C51" t="s">
        <v>104</v>
      </c>
      <c r="D51" t="str">
        <f t="shared" si="0"/>
        <v>female.finisher</v>
      </c>
      <c r="E51" t="s">
        <v>106</v>
      </c>
      <c r="F51">
        <f>F50</f>
        <v>0.14284404919462868</v>
      </c>
    </row>
    <row r="52" spans="1:6" x14ac:dyDescent="0.55000000000000004">
      <c r="A52" t="s">
        <v>110</v>
      </c>
      <c r="B52" t="s">
        <v>116</v>
      </c>
      <c r="C52" t="s">
        <v>104</v>
      </c>
      <c r="D52" t="str">
        <f t="shared" si="0"/>
        <v>female.breeder</v>
      </c>
      <c r="E52" t="s">
        <v>106</v>
      </c>
      <c r="F52">
        <f>F51</f>
        <v>0.14284404919462868</v>
      </c>
    </row>
    <row r="53" spans="1:6" x14ac:dyDescent="0.55000000000000004">
      <c r="A53" t="s">
        <v>110</v>
      </c>
      <c r="B53" t="s">
        <v>116</v>
      </c>
      <c r="C53" t="s">
        <v>109</v>
      </c>
      <c r="D53" t="str">
        <f t="shared" si="0"/>
        <v>male.finisher</v>
      </c>
      <c r="E53" t="s">
        <v>106</v>
      </c>
      <c r="F53" s="32">
        <f>Herd_decision_tree!C26</f>
        <v>0.19037946157911012</v>
      </c>
    </row>
    <row r="54" spans="1:6" x14ac:dyDescent="0.55000000000000004">
      <c r="A54" t="s">
        <v>110</v>
      </c>
      <c r="B54" t="s">
        <v>116</v>
      </c>
      <c r="C54" t="s">
        <v>109</v>
      </c>
      <c r="D54" t="str">
        <f t="shared" si="0"/>
        <v>female.finisher</v>
      </c>
      <c r="E54" t="s">
        <v>106</v>
      </c>
      <c r="F54">
        <f>F53</f>
        <v>0.19037946157911012</v>
      </c>
    </row>
    <row r="55" spans="1:6" x14ac:dyDescent="0.55000000000000004">
      <c r="A55" t="s">
        <v>110</v>
      </c>
      <c r="B55" t="s">
        <v>116</v>
      </c>
      <c r="C55" t="s">
        <v>109</v>
      </c>
      <c r="D55" t="str">
        <f t="shared" si="0"/>
        <v>female.breeder</v>
      </c>
      <c r="E55" t="s">
        <v>106</v>
      </c>
      <c r="F55">
        <f>F54</f>
        <v>0.19037946157911012</v>
      </c>
    </row>
    <row r="56" spans="1:6" x14ac:dyDescent="0.55000000000000004">
      <c r="A56" t="s">
        <v>110</v>
      </c>
      <c r="B56" t="s">
        <v>116</v>
      </c>
      <c r="C56" t="s">
        <v>112</v>
      </c>
      <c r="D56" t="str">
        <f t="shared" si="0"/>
        <v>male.finisher</v>
      </c>
      <c r="E56" t="s">
        <v>106</v>
      </c>
      <c r="F56" s="32">
        <f>Herd_decision_tree!D26</f>
        <v>0.16534469507538191</v>
      </c>
    </row>
    <row r="57" spans="1:6" x14ac:dyDescent="0.55000000000000004">
      <c r="A57" t="s">
        <v>110</v>
      </c>
      <c r="B57" t="s">
        <v>116</v>
      </c>
      <c r="C57" t="s">
        <v>112</v>
      </c>
      <c r="D57" t="str">
        <f t="shared" si="0"/>
        <v>female.finisher</v>
      </c>
      <c r="E57" t="s">
        <v>106</v>
      </c>
      <c r="F57">
        <f>F56</f>
        <v>0.16534469507538191</v>
      </c>
    </row>
    <row r="58" spans="1:6" x14ac:dyDescent="0.55000000000000004">
      <c r="A58" t="s">
        <v>110</v>
      </c>
      <c r="B58" t="s">
        <v>116</v>
      </c>
      <c r="C58" t="s">
        <v>112</v>
      </c>
      <c r="D58" t="str">
        <f t="shared" si="0"/>
        <v>female.breeder</v>
      </c>
      <c r="E58" t="s">
        <v>106</v>
      </c>
      <c r="F58">
        <f>F57</f>
        <v>0.16534469507538191</v>
      </c>
    </row>
    <row r="59" spans="1:6" x14ac:dyDescent="0.55000000000000004">
      <c r="A59" t="s">
        <v>115</v>
      </c>
      <c r="B59" t="s">
        <v>116</v>
      </c>
      <c r="C59" t="s">
        <v>104</v>
      </c>
      <c r="D59" t="str">
        <f t="shared" si="0"/>
        <v>male.finisher</v>
      </c>
      <c r="E59" t="s">
        <v>106</v>
      </c>
      <c r="F59" s="32">
        <f>Herd_decision_tree!B27</f>
        <v>6.7220729032766421E-2</v>
      </c>
    </row>
    <row r="60" spans="1:6" x14ac:dyDescent="0.55000000000000004">
      <c r="A60" t="s">
        <v>115</v>
      </c>
      <c r="B60" t="s">
        <v>116</v>
      </c>
      <c r="C60" t="s">
        <v>104</v>
      </c>
      <c r="D60" t="str">
        <f t="shared" si="0"/>
        <v>female.finisher</v>
      </c>
      <c r="E60" t="s">
        <v>106</v>
      </c>
      <c r="F60">
        <f>F59</f>
        <v>6.7220729032766421E-2</v>
      </c>
    </row>
    <row r="61" spans="1:6" x14ac:dyDescent="0.55000000000000004">
      <c r="A61" t="s">
        <v>115</v>
      </c>
      <c r="B61" t="s">
        <v>116</v>
      </c>
      <c r="C61" t="s">
        <v>104</v>
      </c>
      <c r="D61" t="str">
        <f t="shared" si="0"/>
        <v>female.breeder</v>
      </c>
      <c r="E61" t="s">
        <v>106</v>
      </c>
      <c r="F61">
        <f>F60</f>
        <v>6.7220729032766421E-2</v>
      </c>
    </row>
    <row r="62" spans="1:6" x14ac:dyDescent="0.55000000000000004">
      <c r="A62" t="s">
        <v>115</v>
      </c>
      <c r="B62" t="s">
        <v>116</v>
      </c>
      <c r="C62" t="s">
        <v>109</v>
      </c>
      <c r="D62" t="str">
        <f t="shared" si="0"/>
        <v>male.finisher</v>
      </c>
      <c r="E62" t="s">
        <v>106</v>
      </c>
      <c r="F62" s="32">
        <f>Herd_decision_tree!C27</f>
        <v>8.9590334860757681E-2</v>
      </c>
    </row>
    <row r="63" spans="1:6" x14ac:dyDescent="0.55000000000000004">
      <c r="A63" t="s">
        <v>115</v>
      </c>
      <c r="B63" t="s">
        <v>116</v>
      </c>
      <c r="C63" t="s">
        <v>109</v>
      </c>
      <c r="D63" t="str">
        <f t="shared" si="0"/>
        <v>female.finisher</v>
      </c>
      <c r="E63" t="s">
        <v>106</v>
      </c>
      <c r="F63">
        <f>F62</f>
        <v>8.9590334860757681E-2</v>
      </c>
    </row>
    <row r="64" spans="1:6" x14ac:dyDescent="0.55000000000000004">
      <c r="A64" t="s">
        <v>115</v>
      </c>
      <c r="B64" t="s">
        <v>116</v>
      </c>
      <c r="C64" t="s">
        <v>109</v>
      </c>
      <c r="D64" t="str">
        <f t="shared" si="0"/>
        <v>female.breeder</v>
      </c>
      <c r="E64" t="s">
        <v>106</v>
      </c>
      <c r="F64">
        <f>F63</f>
        <v>8.9590334860757681E-2</v>
      </c>
    </row>
    <row r="65" spans="1:6" x14ac:dyDescent="0.55000000000000004">
      <c r="A65" t="s">
        <v>115</v>
      </c>
      <c r="B65" t="s">
        <v>116</v>
      </c>
      <c r="C65" t="s">
        <v>112</v>
      </c>
      <c r="D65" t="str">
        <f t="shared" si="0"/>
        <v>male.finisher</v>
      </c>
      <c r="E65" t="s">
        <v>106</v>
      </c>
      <c r="F65" s="32">
        <f>Herd_decision_tree!D27</f>
        <v>7.7809268270767937E-2</v>
      </c>
    </row>
    <row r="66" spans="1:6" x14ac:dyDescent="0.55000000000000004">
      <c r="A66" t="s">
        <v>115</v>
      </c>
      <c r="B66" t="s">
        <v>116</v>
      </c>
      <c r="C66" t="s">
        <v>112</v>
      </c>
      <c r="D66" t="str">
        <f t="shared" si="0"/>
        <v>female.finisher</v>
      </c>
      <c r="E66" t="s">
        <v>106</v>
      </c>
      <c r="F66">
        <f>F65</f>
        <v>7.7809268270767937E-2</v>
      </c>
    </row>
    <row r="67" spans="1:6" x14ac:dyDescent="0.55000000000000004">
      <c r="A67" t="s">
        <v>115</v>
      </c>
      <c r="B67" t="s">
        <v>116</v>
      </c>
      <c r="C67" t="s">
        <v>112</v>
      </c>
      <c r="D67" t="str">
        <f t="shared" si="0"/>
        <v>female.breeder</v>
      </c>
      <c r="E67" t="s">
        <v>106</v>
      </c>
      <c r="F67">
        <f>F66</f>
        <v>7.7809268270767937E-2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Validate_2020</vt:lpstr>
      <vt:lpstr>Herd_decision_tree</vt:lpstr>
      <vt:lpstr>Projections</vt:lpstr>
      <vt:lpstr>ZS_Summary</vt:lpstr>
      <vt:lpstr>NPP</vt:lpstr>
      <vt:lpstr>Carrying_Capacity</vt:lpstr>
      <vt:lpstr>Beef_population_to_GIS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Hawkins</dc:creator>
  <cp:lastModifiedBy>James Hawkins</cp:lastModifiedBy>
  <dcterms:created xsi:type="dcterms:W3CDTF">2026-06-13T04:30:46Z</dcterms:created>
  <dcterms:modified xsi:type="dcterms:W3CDTF">2026-06-23T10:03:43Z</dcterms:modified>
</cp:coreProperties>
</file>