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Hawkins\Documents\Github\KE.beef.spatial\Rasterized animal populations\Zonal statistics\"/>
    </mc:Choice>
  </mc:AlternateContent>
  <xr:revisionPtr revIDLastSave="0" documentId="13_ncr:1_{9C98A1DC-C804-45B9-BE40-B32C1E7CBE2B}" xr6:coauthVersionLast="47" xr6:coauthVersionMax="47" xr10:uidLastSave="{00000000-0000-0000-0000-000000000000}"/>
  <bookViews>
    <workbookView xWindow="-120" yWindow="-120" windowWidth="24240" windowHeight="13020" xr2:uid="{3882C52B-09A6-47D1-94BA-1F6173569800}"/>
  </bookViews>
  <sheets>
    <sheet name="Validate_2020" sheetId="2" r:id="rId1"/>
    <sheet name="Herd_decision_tree" sheetId="4" r:id="rId2"/>
    <sheet name="Projections" sheetId="3" r:id="rId3"/>
    <sheet name="ZS_Summary" sheetId="6" r:id="rId4"/>
  </sheets>
  <externalReferences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7" i="4" l="1"/>
  <c r="I6" i="4"/>
  <c r="I5" i="4"/>
  <c r="J8" i="6"/>
  <c r="D8" i="6"/>
  <c r="H8" i="6"/>
  <c r="I8" i="6"/>
  <c r="G8" i="6"/>
  <c r="J4" i="6"/>
  <c r="J5" i="6"/>
  <c r="J6" i="6"/>
  <c r="J7" i="6"/>
  <c r="D3" i="6"/>
  <c r="I4" i="6"/>
  <c r="I5" i="6"/>
  <c r="I6" i="6"/>
  <c r="I7" i="6"/>
  <c r="I3" i="6"/>
  <c r="J3" i="6" s="1"/>
  <c r="G7" i="6"/>
  <c r="G6" i="6"/>
  <c r="G5" i="6"/>
  <c r="G4" i="6"/>
  <c r="H7" i="6"/>
  <c r="H6" i="6"/>
  <c r="H5" i="6"/>
  <c r="H4" i="6"/>
  <c r="H3" i="6"/>
  <c r="G3" i="6"/>
  <c r="G4" i="2" l="1"/>
  <c r="G2" i="2" l="1"/>
  <c r="D2" i="2"/>
  <c r="G6" i="2"/>
  <c r="G3" i="2"/>
  <c r="G5" i="2"/>
  <c r="D4" i="2" l="1"/>
  <c r="D5" i="2"/>
  <c r="D6" i="2"/>
  <c r="D3" i="2"/>
  <c r="E41" i="4" l="1"/>
  <c r="B5" i="6"/>
  <c r="D16" i="4"/>
  <c r="D17" i="4" s="1"/>
  <c r="D6" i="6"/>
  <c r="D7" i="6"/>
  <c r="C7" i="6"/>
  <c r="B7" i="6"/>
  <c r="C6" i="6"/>
  <c r="B6" i="6"/>
  <c r="C5" i="6"/>
  <c r="C4" i="6"/>
  <c r="B4" i="6"/>
  <c r="C3" i="6"/>
  <c r="B3" i="6"/>
  <c r="G27" i="4"/>
  <c r="C6" i="3"/>
  <c r="C5" i="3"/>
  <c r="C4" i="3"/>
  <c r="C3" i="3"/>
  <c r="C2" i="3"/>
  <c r="D5" i="6" l="1"/>
  <c r="D4" i="6"/>
  <c r="D7" i="2" l="1"/>
  <c r="E2" i="2" s="1"/>
  <c r="F2" i="2" s="1"/>
  <c r="B23" i="4"/>
  <c r="I11" i="4"/>
  <c r="I10" i="4"/>
  <c r="I9" i="4"/>
  <c r="C3" i="4"/>
  <c r="B3" i="4"/>
  <c r="D2" i="4"/>
  <c r="D4" i="4" s="1"/>
  <c r="C2" i="4"/>
  <c r="C4" i="4" s="1"/>
  <c r="B2" i="4"/>
  <c r="B27" i="4" l="1"/>
  <c r="D12" i="4"/>
  <c r="D14" i="4" s="1"/>
  <c r="D36" i="4" s="1"/>
  <c r="C12" i="4"/>
  <c r="E3" i="2"/>
  <c r="E6" i="2"/>
  <c r="F6" i="2" s="1"/>
  <c r="E5" i="2"/>
  <c r="F5" i="2" s="1"/>
  <c r="E4" i="2"/>
  <c r="F4" i="2" s="1"/>
  <c r="C8" i="4"/>
  <c r="B8" i="4"/>
  <c r="E3" i="4"/>
  <c r="B4" i="4"/>
  <c r="E2" i="4"/>
  <c r="E17" i="4"/>
  <c r="E16" i="4"/>
  <c r="B4" i="2" s="1"/>
  <c r="D18" i="4"/>
  <c r="E18" i="4" s="1"/>
  <c r="D23" i="4"/>
  <c r="D27" i="4" s="1"/>
  <c r="D28" i="4" s="1"/>
  <c r="C23" i="4"/>
  <c r="C27" i="4" s="1"/>
  <c r="D13" i="4" l="1"/>
  <c r="E12" i="4"/>
  <c r="B3" i="2" s="1"/>
  <c r="C13" i="4"/>
  <c r="E13" i="4" s="1"/>
  <c r="F3" i="2"/>
  <c r="E27" i="4"/>
  <c r="B28" i="4"/>
  <c r="C14" i="4"/>
  <c r="E14" i="4" s="1"/>
  <c r="C10" i="4"/>
  <c r="C9" i="4"/>
  <c r="B10" i="4"/>
  <c r="E8" i="4"/>
  <c r="B9" i="4"/>
  <c r="E4" i="4"/>
  <c r="D21" i="4"/>
  <c r="D35" i="4"/>
  <c r="D24" i="4"/>
  <c r="D25" i="4"/>
  <c r="D29" i="4"/>
  <c r="C24" i="4"/>
  <c r="C37" i="4" s="1"/>
  <c r="C25" i="4"/>
  <c r="C28" i="4"/>
  <c r="C29" i="4"/>
  <c r="B29" i="4"/>
  <c r="E23" i="4"/>
  <c r="B6" i="2" s="1"/>
  <c r="B24" i="4"/>
  <c r="B25" i="4"/>
  <c r="C35" i="4" l="1"/>
  <c r="B37" i="4"/>
  <c r="E24" i="4"/>
  <c r="B5" i="2"/>
  <c r="D31" i="4"/>
  <c r="D37" i="4"/>
  <c r="E37" i="4" s="1"/>
  <c r="C21" i="4"/>
  <c r="C36" i="4"/>
  <c r="B2" i="2"/>
  <c r="B21" i="4"/>
  <c r="E10" i="4"/>
  <c r="B36" i="4"/>
  <c r="E9" i="4"/>
  <c r="B35" i="4"/>
  <c r="E35" i="4" s="1"/>
  <c r="C38" i="4"/>
  <c r="E29" i="4"/>
  <c r="B38" i="4"/>
  <c r="E25" i="4"/>
  <c r="G25" i="4" s="1"/>
  <c r="D38" i="4"/>
  <c r="E28" i="4"/>
  <c r="G28" i="4" s="1"/>
  <c r="C31" i="4"/>
  <c r="B31" i="4"/>
  <c r="E36" i="4" l="1"/>
  <c r="B7" i="2"/>
  <c r="C39" i="4"/>
  <c r="E21" i="4"/>
  <c r="D39" i="4"/>
  <c r="E31" i="4"/>
  <c r="B39" i="4"/>
  <c r="E38" i="4"/>
  <c r="C2" i="2" l="1"/>
  <c r="H2" i="2" s="1"/>
  <c r="E39" i="4"/>
  <c r="E42" i="4" s="1"/>
  <c r="C5" i="2"/>
  <c r="H5" i="2" s="1"/>
  <c r="C6" i="2"/>
  <c r="H6" i="2" s="1"/>
  <c r="C3" i="2"/>
  <c r="H3" i="2" s="1"/>
  <c r="C4" i="2"/>
  <c r="H4" i="2" s="1"/>
  <c r="H7" i="2" l="1"/>
  <c r="E7" i="6"/>
  <c r="L7" i="6" s="1"/>
  <c r="M7" i="6" s="1"/>
  <c r="E5" i="6"/>
  <c r="L5" i="6" s="1"/>
  <c r="M5" i="6" s="1"/>
  <c r="E4" i="6"/>
  <c r="L4" i="6" s="1"/>
  <c r="M4" i="6" s="1"/>
  <c r="G24" i="4"/>
  <c r="E3" i="6"/>
  <c r="E6" i="6"/>
  <c r="L6" i="6" s="1"/>
  <c r="M6" i="6" s="1"/>
  <c r="B4" i="3"/>
  <c r="D4" i="3" s="1"/>
  <c r="E4" i="3" s="1"/>
  <c r="B3" i="3"/>
  <c r="D3" i="3" s="1"/>
  <c r="E3" i="3" s="1"/>
  <c r="B2" i="3"/>
  <c r="B6" i="3"/>
  <c r="D6" i="3" s="1"/>
  <c r="E6" i="3" s="1"/>
  <c r="B5" i="3"/>
  <c r="D5" i="3" s="1"/>
  <c r="E5" i="3" s="1"/>
  <c r="F36" i="4"/>
  <c r="F37" i="4"/>
  <c r="F35" i="4"/>
  <c r="F38" i="4"/>
  <c r="L3" i="6" l="1"/>
  <c r="E8" i="6"/>
  <c r="D2" i="3"/>
  <c r="E2" i="3" s="1"/>
  <c r="M3" i="6" l="1"/>
  <c r="L8" i="6"/>
  <c r="M8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tc={0B974C83-E393-4D24-9238-9ECDE1F8DB25}</author>
  </authors>
  <commentList>
    <comment ref="G34" authorId="0" shapeId="0" xr:uid="{0B974C83-E393-4D24-9238-9ECDE1F8DB25}">
      <text>
        <t>[Threaded comment]
Your version of Excel allows you to read this threaded comment; however, any edits to it will get removed if the file is opened in a newer version of Excel. Learn more: https://go.microsoft.com/fwlink/?linkid=870924
Comment:
    https://gemini.google.com/app/cb2f8387004cee95
Total boran should be 1 to 1.5 M</t>
      </text>
    </comment>
  </commentList>
</comments>
</file>

<file path=xl/sharedStrings.xml><?xml version="1.0" encoding="utf-8"?>
<sst xmlns="http://schemas.openxmlformats.org/spreadsheetml/2006/main" count="88" uniqueCount="61">
  <si>
    <t>Comm</t>
  </si>
  <si>
    <t>Subs</t>
  </si>
  <si>
    <t>Arid</t>
  </si>
  <si>
    <t>Sarid</t>
  </si>
  <si>
    <t>Humid</t>
  </si>
  <si>
    <t>Total</t>
  </si>
  <si>
    <t>Parameters</t>
  </si>
  <si>
    <t>Frac finisher to total animal population</t>
  </si>
  <si>
    <t>Frac boran to total herd</t>
  </si>
  <si>
    <t>Commercial</t>
  </si>
  <si>
    <t>Subsistence</t>
  </si>
  <si>
    <t>Pastoral -- frac boran to total herd</t>
  </si>
  <si>
    <t>Agpastoral -- frac boran to total herd</t>
  </si>
  <si>
    <t>Mixed</t>
  </si>
  <si>
    <t>Mixed -- Frac boran to total herd</t>
  </si>
  <si>
    <t>Pastoral</t>
  </si>
  <si>
    <t>Pastoral - Zebu</t>
  </si>
  <si>
    <t>Pastoral - Boran</t>
  </si>
  <si>
    <t>Agropastoral</t>
  </si>
  <si>
    <t>Agropastoral - Zebu</t>
  </si>
  <si>
    <t>Agropastoral - Boran</t>
  </si>
  <si>
    <t>Mixed - Zebu</t>
  </si>
  <si>
    <t>Mixed - Boran</t>
  </si>
  <si>
    <t>Zebu</t>
  </si>
  <si>
    <t>Cowcalf</t>
  </si>
  <si>
    <t>Finisher</t>
  </si>
  <si>
    <t>Finisher - Boran</t>
  </si>
  <si>
    <t>Finisher - Exotic</t>
  </si>
  <si>
    <t>Cowcalf - Boran</t>
  </si>
  <si>
    <t>Cowcalf - Exotic</t>
  </si>
  <si>
    <t>Check - subsistence</t>
  </si>
  <si>
    <t>Check - all</t>
  </si>
  <si>
    <t>All</t>
  </si>
  <si>
    <t>Breed</t>
  </si>
  <si>
    <t>Exotic</t>
  </si>
  <si>
    <t>Systems</t>
  </si>
  <si>
    <t>Sources</t>
  </si>
  <si>
    <t>Summary</t>
  </si>
  <si>
    <t>Farm decomposition</t>
  </si>
  <si>
    <t>Gatsby</t>
  </si>
  <si>
    <t>APRI (2025)</t>
  </si>
  <si>
    <t>GLS (2019)</t>
  </si>
  <si>
    <t>Frac pastoral to agpastoral - arid</t>
  </si>
  <si>
    <t>Frac pastoral to agpastoral - semiarid</t>
  </si>
  <si>
    <t>Frac mixed to agropastoral - semi arid</t>
  </si>
  <si>
    <t>Cow-calf</t>
  </si>
  <si>
    <t>Fraction</t>
  </si>
  <si>
    <t>Absolute difference</t>
  </si>
  <si>
    <t>Growth rate</t>
  </si>
  <si>
    <t>Absolute growth (M hd)</t>
  </si>
  <si>
    <t>Breed decompositon (by farm-type)</t>
  </si>
  <si>
    <t>Boran -- Subsistence</t>
  </si>
  <si>
    <t>Boran -- Commercial</t>
  </si>
  <si>
    <t>FAO (2019) estimates --- all catl</t>
  </si>
  <si>
    <t>trend.line(FAO)</t>
  </si>
  <si>
    <t>FAO (2019) estimates --- beef cattle -- no trend adjustment</t>
  </si>
  <si>
    <t>FAO (2019) estimates --- beef cattle -- trend adjustment</t>
  </si>
  <si>
    <t>Breed 1</t>
  </si>
  <si>
    <t>Breed 2</t>
  </si>
  <si>
    <t>Excel method</t>
  </si>
  <si>
    <t>Delta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</si>
</sst>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00"/>
    <numFmt numFmtId="165" formatCode="0.000000000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0" fillId="2" borderId="0" xfId="0" applyFill="1"/>
    <xf numFmtId="164" fontId="0" fillId="0" borderId="0" xfId="0" applyNumberFormat="1"/>
    <xf numFmtId="165" fontId="0" fillId="0" borderId="0" xfId="0" applyNumberFormat="1" applyAlignment="1">
      <alignment horizontal="center"/>
    </xf>
    <xf numFmtId="165" fontId="0" fillId="0" borderId="0" xfId="0" applyNumberFormat="1"/>
    <xf numFmtId="165" fontId="0" fillId="2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4.xml"/><Relationship Id="rId13" Type="http://schemas.openxmlformats.org/officeDocument/2006/relationships/externalLink" Target="externalLinks/externalLink9.xml"/><Relationship Id="rId18" Type="http://schemas.openxmlformats.org/officeDocument/2006/relationships/externalLink" Target="externalLinks/externalLink14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7.xml"/><Relationship Id="rId7" Type="http://schemas.openxmlformats.org/officeDocument/2006/relationships/externalLink" Target="externalLinks/externalLink3.xml"/><Relationship Id="rId12" Type="http://schemas.openxmlformats.org/officeDocument/2006/relationships/externalLink" Target="externalLinks/externalLink8.xml"/><Relationship Id="rId17" Type="http://schemas.openxmlformats.org/officeDocument/2006/relationships/externalLink" Target="externalLinks/externalLink13.xml"/><Relationship Id="rId25" Type="http://schemas.openxmlformats.org/officeDocument/2006/relationships/externalLink" Target="externalLinks/externalLink2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2.xml"/><Relationship Id="rId20" Type="http://schemas.openxmlformats.org/officeDocument/2006/relationships/externalLink" Target="externalLinks/externalLink16.xml"/><Relationship Id="rId29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externalLink" Target="externalLinks/externalLink7.xml"/><Relationship Id="rId24" Type="http://schemas.openxmlformats.org/officeDocument/2006/relationships/externalLink" Target="externalLinks/externalLink20.xml"/><Relationship Id="rId5" Type="http://schemas.openxmlformats.org/officeDocument/2006/relationships/externalLink" Target="externalLinks/externalLink1.xml"/><Relationship Id="rId15" Type="http://schemas.openxmlformats.org/officeDocument/2006/relationships/externalLink" Target="externalLinks/externalLink11.xml"/><Relationship Id="rId23" Type="http://schemas.openxmlformats.org/officeDocument/2006/relationships/externalLink" Target="externalLinks/externalLink19.xml"/><Relationship Id="rId28" Type="http://schemas.openxmlformats.org/officeDocument/2006/relationships/sharedStrings" Target="sharedStrings.xml"/><Relationship Id="rId10" Type="http://schemas.openxmlformats.org/officeDocument/2006/relationships/externalLink" Target="externalLinks/externalLink6.xml"/><Relationship Id="rId19" Type="http://schemas.openxmlformats.org/officeDocument/2006/relationships/externalLink" Target="externalLinks/externalLink15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5.xml"/><Relationship Id="rId14" Type="http://schemas.openxmlformats.org/officeDocument/2006/relationships/externalLink" Target="externalLinks/externalLink10.xml"/><Relationship Id="rId22" Type="http://schemas.openxmlformats.org/officeDocument/2006/relationships/externalLink" Target="externalLinks/externalLink18.xml"/><Relationship Id="rId27" Type="http://schemas.openxmlformats.org/officeDocument/2006/relationships/styles" Target="styles.xml"/><Relationship Id="rId30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KE-beef-main/Model/Results.summary/trend.lines.xlsx" TargetMode="External"/><Relationship Id="rId2" Type="http://schemas.openxmlformats.org/officeDocument/2006/relationships/externalLinkPath" Target="file:///C:\Users\JHawkins\Documents\Github\KE-beef-main\Model\Results.summary\trend.lines.xlsx" TargetMode="External"/><Relationship Id="rId1" Type="http://schemas.openxmlformats.org/officeDocument/2006/relationships/externalLinkPath" Target="/Users/JHawkins/Documents/Github/KE-beef-main/Model/Results.summary/trend.line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20\Pastoral_Zebu_2020.csv" TargetMode="External"/><Relationship Id="rId1" Type="http://schemas.openxmlformats.org/officeDocument/2006/relationships/externalLinkPath" Target="2020/Pastoral_Zebu_2020.csv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20\Pastoral_Boran_2020.csv" TargetMode="External"/><Relationship Id="rId1" Type="http://schemas.openxmlformats.org/officeDocument/2006/relationships/externalLinkPath" Target="2020/Pastoral_Boran_2020.csv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20\Agpastoral_Zebu_2020.csv" TargetMode="External"/><Relationship Id="rId1" Type="http://schemas.openxmlformats.org/officeDocument/2006/relationships/externalLinkPath" Target="2020/Agpastoral_Zebu_2020.csv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20\Agpastoral_Boran_2020.csv" TargetMode="External"/><Relationship Id="rId1" Type="http://schemas.openxmlformats.org/officeDocument/2006/relationships/externalLinkPath" Target="2020/Agpastoral_Boran_2020.csv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20\Mixed_Zebu_2020.csv" TargetMode="External"/><Relationship Id="rId1" Type="http://schemas.openxmlformats.org/officeDocument/2006/relationships/externalLinkPath" Target="2020/Mixed_Zebu_2020.csv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20\Mixed_Boran_2020.csv" TargetMode="External"/><Relationship Id="rId1" Type="http://schemas.openxmlformats.org/officeDocument/2006/relationships/externalLinkPath" Target="2020/Mixed_Boran_2020.csv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20\Cowcalf_Boran_2020.csv" TargetMode="External"/><Relationship Id="rId1" Type="http://schemas.openxmlformats.org/officeDocument/2006/relationships/externalLinkPath" Target="2020/Cowcalf_Boran_2020.csv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20\Cowcalf_Exotic_2020.csv" TargetMode="External"/><Relationship Id="rId1" Type="http://schemas.openxmlformats.org/officeDocument/2006/relationships/externalLinkPath" Target="2020/Cowcalf_Exotic_2020.csv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20\Finisher_Boran_2020.csv" TargetMode="External"/><Relationship Id="rId1" Type="http://schemas.openxmlformats.org/officeDocument/2006/relationships/externalLinkPath" Target="2020/Finisher_Boran_2020.csv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20\Finisher_Exotic_2020.csv" TargetMode="External"/><Relationship Id="rId1" Type="http://schemas.openxmlformats.org/officeDocument/2006/relationships/externalLinkPath" Target="2020/Finisher_Exotic_2020.csv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50\Pastoral_Zebu_2050.csv" TargetMode="External"/><Relationship Id="rId1" Type="http://schemas.openxmlformats.org/officeDocument/2006/relationships/externalLinkPath" Target="2050/Pastoral_Zebu_2050.csv" TargetMode="External"/></Relationships>
</file>

<file path=xl/externalLinks/_rels/externalLink1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50\Pastoral_Boran_2050.csv" TargetMode="External"/><Relationship Id="rId1" Type="http://schemas.openxmlformats.org/officeDocument/2006/relationships/externalLinkPath" Target="2050/Pastoral_Boran_2050.csv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50\Agpastoral_Boran_2050.csv" TargetMode="External"/><Relationship Id="rId1" Type="http://schemas.openxmlformats.org/officeDocument/2006/relationships/externalLinkPath" Target="2050/Agpastoral_Boran_2050.csv" TargetMode="External"/></Relationships>
</file>

<file path=xl/externalLinks/_rels/externalLink1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50\Mixed_Boran_2050.csv" TargetMode="External"/><Relationship Id="rId1" Type="http://schemas.openxmlformats.org/officeDocument/2006/relationships/externalLinkPath" Target="2050/Mixed_Boran_2050.csv" TargetMode="External"/></Relationships>
</file>

<file path=xl/externalLinks/_rels/externalLink1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50\Cowcalf_Exotic_2050.csv" TargetMode="External"/><Relationship Id="rId1" Type="http://schemas.openxmlformats.org/officeDocument/2006/relationships/externalLinkPath" Target="2050/Cowcalf_Exotic_2050.csv" TargetMode="External"/></Relationships>
</file>

<file path=xl/externalLinks/_rels/externalLink1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50\Finisher_Exotic_2050.csv" TargetMode="External"/><Relationship Id="rId1" Type="http://schemas.openxmlformats.org/officeDocument/2006/relationships/externalLinkPath" Target="2050/Finisher_Exotic_2050.csv" TargetMode="External"/></Relationships>
</file>

<file path=xl/externalLinks/_rels/externalLink1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50\Agpastoral_Zebu_2050.csv" TargetMode="External"/><Relationship Id="rId1" Type="http://schemas.openxmlformats.org/officeDocument/2006/relationships/externalLinkPath" Target="2050/Agpastoral_Zebu_2050.csv" TargetMode="External"/></Relationships>
</file>

<file path=xl/externalLinks/_rels/externalLink1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50\Mixed_Zebu_2050.csv" TargetMode="External"/><Relationship Id="rId1" Type="http://schemas.openxmlformats.org/officeDocument/2006/relationships/externalLinkPath" Target="2050/Mixed_Zebu_2050.csv" TargetMode="External"/></Relationships>
</file>

<file path=xl/externalLinks/_rels/externalLink2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50\Cowcalf_Boran_2050.csv" TargetMode="External"/><Relationship Id="rId1" Type="http://schemas.openxmlformats.org/officeDocument/2006/relationships/externalLinkPath" Target="2050/Cowcalf_Boran_2050.csv" TargetMode="External"/></Relationships>
</file>

<file path=xl/externalLinks/_rels/externalLink2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50\Finisher_Boran_2050.csv" TargetMode="External"/><Relationship Id="rId1" Type="http://schemas.openxmlformats.org/officeDocument/2006/relationships/externalLinkPath" Target="2050/Finisher_Boran_2050.csv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odel_implemented"/>
      <sheetName val="FAO_2019_animal_trends"/>
      <sheetName val="Raster_logic"/>
    </sheetNames>
    <sheetDataSet>
      <sheetData sheetId="0"/>
      <sheetData sheetId="1">
        <row r="35">
          <cell r="F35">
            <v>0.53615960099750615</v>
          </cell>
          <cell r="G35">
            <v>0.38312009613345605</v>
          </cell>
        </row>
        <row r="36">
          <cell r="F36">
            <v>0.36159600997506236</v>
          </cell>
          <cell r="G36">
            <v>2.7950424483806726</v>
          </cell>
        </row>
        <row r="37">
          <cell r="F37">
            <v>2.4937655860349127E-3</v>
          </cell>
          <cell r="G37">
            <v>86.466565349544069</v>
          </cell>
        </row>
        <row r="38">
          <cell r="F38">
            <v>4.9875311720698257E-2</v>
          </cell>
          <cell r="G38">
            <v>1.0372340425531916</v>
          </cell>
        </row>
        <row r="39">
          <cell r="F39">
            <v>4.9875311720698257E-2</v>
          </cell>
          <cell r="G39">
            <v>7.6101823708206684</v>
          </cell>
        </row>
        <row r="40">
          <cell r="G40">
            <v>1.354588821344141</v>
          </cell>
        </row>
      </sheetData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astoral_Zebu_2020"/>
    </sheetNames>
    <sheetDataSet>
      <sheetData sheetId="0" refreshError="1">
        <row r="2">
          <cell r="K2">
            <v>7912803.5780913802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astoral_Boran_2020"/>
    </sheetNames>
    <sheetDataSet>
      <sheetData sheetId="0" refreshError="1">
        <row r="2">
          <cell r="K2">
            <v>1124203.7226895699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gpastoral_Zebu_2020"/>
    </sheetNames>
    <sheetDataSet>
      <sheetData sheetId="0">
        <row r="2">
          <cell r="K2">
            <v>3685141.0110471202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gpastoral_Boran_2020"/>
    </sheetNames>
    <sheetDataSet>
      <sheetData sheetId="0">
        <row r="2">
          <cell r="K2">
            <v>277376.20390618598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ixed_Zebu_2020"/>
    </sheetNames>
    <sheetDataSet>
      <sheetData sheetId="0">
        <row r="2">
          <cell r="K2">
            <v>298374.71550379699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ixed_Boran_2020"/>
    </sheetNames>
    <sheetDataSet>
      <sheetData sheetId="0">
        <row r="2">
          <cell r="K2">
            <v>25945.627401560501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wcalf_Boran_2020"/>
    </sheetNames>
    <sheetDataSet>
      <sheetData sheetId="0">
        <row r="2">
          <cell r="K2">
            <v>1184753.34766715</v>
          </cell>
        </row>
      </sheetData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wcalf_Exotic_2020"/>
    </sheetNames>
    <sheetDataSet>
      <sheetData sheetId="0">
        <row r="2">
          <cell r="K2">
            <v>985977.36353097099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nisher_Boran_2020"/>
    </sheetNames>
    <sheetDataSet>
      <sheetData sheetId="0">
        <row r="2">
          <cell r="K2">
            <v>26321.876059999999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nisher_Exotic_2020"/>
    </sheetNames>
    <sheetDataSet>
      <sheetData sheetId="0">
        <row r="2">
          <cell r="K2">
            <v>12386.7653238613</v>
          </cell>
        </row>
      </sheetData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astoral_Zebu_2050"/>
    </sheetNames>
    <sheetDataSet>
      <sheetData sheetId="0">
        <row r="2">
          <cell r="K2">
            <v>8554757.4814370908</v>
          </cell>
        </row>
      </sheetData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astoral_Boran_2050"/>
    </sheetNames>
    <sheetDataSet>
      <sheetData sheetId="0">
        <row r="2">
          <cell r="K2">
            <v>1215408.67359516</v>
          </cell>
        </row>
      </sheetData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gpastoral_Boran_2050"/>
    </sheetNames>
    <sheetDataSet>
      <sheetData sheetId="0">
        <row r="2">
          <cell r="K2">
            <v>488402.05019366002</v>
          </cell>
        </row>
      </sheetData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ixed_Boran_2050"/>
    </sheetNames>
    <sheetDataSet>
      <sheetData sheetId="0">
        <row r="2">
          <cell r="K2">
            <v>35153.269665965803</v>
          </cell>
        </row>
      </sheetData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wcalf_Exotic_2050"/>
    </sheetNames>
    <sheetDataSet>
      <sheetData sheetId="0">
        <row r="2">
          <cell r="K2">
            <v>1503165.94333724</v>
          </cell>
        </row>
      </sheetData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nisher_Exotic_2050"/>
    </sheetNames>
    <sheetDataSet>
      <sheetData sheetId="0">
        <row r="2">
          <cell r="K2">
            <v>432162.57168335503</v>
          </cell>
        </row>
      </sheetData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gpastoral_Zebu_2050"/>
    </sheetNames>
    <sheetDataSet>
      <sheetData sheetId="0">
        <row r="2">
          <cell r="K2">
            <v>6488770.1197828101</v>
          </cell>
        </row>
      </sheetData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ixed_Zebu_2050"/>
    </sheetNames>
    <sheetDataSet>
      <sheetData sheetId="0">
        <row r="2">
          <cell r="K2">
            <v>404262.59496554697</v>
          </cell>
        </row>
      </sheetData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wcalf_Boran_2050"/>
    </sheetNames>
    <sheetDataSet>
      <sheetData sheetId="0">
        <row r="2">
          <cell r="K2">
            <v>1806208.69891036</v>
          </cell>
        </row>
      </sheetData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nisher_Boran_2050"/>
    </sheetNames>
    <sheetDataSet>
      <sheetData sheetId="0">
        <row r="2">
          <cell r="K2">
            <v>918345.45531155204</v>
          </cell>
        </row>
      </sheetData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James Hawkins" id="{94C87838-5F63-4687-96E8-E5DFC56D834F}" userId="bb158497c03b6847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34" dT="2026-06-15T04:34:52.86" personId="{94C87838-5F63-4687-96E8-E5DFC56D834F}" id="{0B974C83-E393-4D24-9238-9ECDE1F8DB25}">
    <text>https://gemini.google.com/app/cb2f8387004cee95
Total boran should be 1 to 1.5 M</text>
    <extLst>
      <x:ext xmlns:xltc2="http://schemas.microsoft.com/office/spreadsheetml/2020/threadedcomments2" uri="{F7C98A9C-CBB3-438F-8F68-D28B6AF4A901}">
        <xltc2:checksum>914658385</xltc2:checksum>
        <xltc2:hyperlink startIndex="0" length="46" url="https://gemini.google.com/app/cb2f8387004cee95"/>
      </x:ext>
    </extLs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88038-24E0-4487-8E9E-ADD8D4CE8257}">
  <dimension ref="A1:H7"/>
  <sheetViews>
    <sheetView tabSelected="1" workbookViewId="0">
      <selection activeCell="J7" sqref="J7"/>
    </sheetView>
  </sheetViews>
  <sheetFormatPr defaultRowHeight="15" x14ac:dyDescent="0.25"/>
  <sheetData>
    <row r="1" spans="1:8" x14ac:dyDescent="0.25">
      <c r="B1" t="s">
        <v>5</v>
      </c>
      <c r="C1" s="6" t="s">
        <v>46</v>
      </c>
      <c r="D1" t="s">
        <v>53</v>
      </c>
      <c r="E1" t="s">
        <v>55</v>
      </c>
      <c r="F1" s="6" t="s">
        <v>56</v>
      </c>
      <c r="G1" t="s">
        <v>54</v>
      </c>
      <c r="H1" t="s">
        <v>47</v>
      </c>
    </row>
    <row r="2" spans="1:8" x14ac:dyDescent="0.25">
      <c r="A2" t="s">
        <v>15</v>
      </c>
      <c r="B2">
        <f>Herd_decision_tree!E8</f>
        <v>6.99195979776652</v>
      </c>
      <c r="C2" s="6">
        <f>B2/$B$7</f>
        <v>0.51509165724121786</v>
      </c>
      <c r="D2">
        <f>[1]FAO_2019_animal_trends!$F$35</f>
        <v>0.53615960099750615</v>
      </c>
      <c r="E2">
        <f>D2/D$7</f>
        <v>0.53615960099750626</v>
      </c>
      <c r="F2" s="6">
        <f>E2-5*G2*E2*0.96/100</f>
        <v>0.52629975213940838</v>
      </c>
      <c r="G2">
        <f>[1]FAO_2019_animal_trends!$G$35</f>
        <v>0.38312009613345605</v>
      </c>
      <c r="H2">
        <f>ABS(F2-C2)</f>
        <v>1.1208094898190524E-2</v>
      </c>
    </row>
    <row r="3" spans="1:8" x14ac:dyDescent="0.25">
      <c r="A3" t="s">
        <v>18</v>
      </c>
      <c r="B3">
        <f>Herd_decision_tree!E12</f>
        <v>4.5255644973891247</v>
      </c>
      <c r="C3" s="6">
        <f t="shared" ref="C3:C6" si="0">B3/$B$7</f>
        <v>0.33339443937546859</v>
      </c>
      <c r="D3">
        <f>[1]FAO_2019_animal_trends!$F$36</f>
        <v>0.36159600997506236</v>
      </c>
      <c r="E3">
        <f t="shared" ref="E3:E6" si="1">D3/D$7</f>
        <v>0.36159600997506242</v>
      </c>
      <c r="F3" s="6">
        <f>E3-5*G3*E3*0.95/100</f>
        <v>0.31358889061540685</v>
      </c>
      <c r="G3">
        <f>[1]FAO_2019_animal_trends!$G$36</f>
        <v>2.7950424483806726</v>
      </c>
      <c r="H3">
        <f>ABS(F3-C3)</f>
        <v>1.9805548760061742E-2</v>
      </c>
    </row>
    <row r="4" spans="1:8" x14ac:dyDescent="0.25">
      <c r="A4" t="s">
        <v>13</v>
      </c>
      <c r="B4">
        <f>Herd_decision_tree!E16</f>
        <v>0.7785024521166074</v>
      </c>
      <c r="C4" s="6">
        <f t="shared" si="0"/>
        <v>5.7351605247385556E-2</v>
      </c>
      <c r="D4">
        <f>[1]FAO_2019_animal_trends!$F$39</f>
        <v>4.9875311720698257E-2</v>
      </c>
      <c r="E4">
        <f t="shared" si="1"/>
        <v>4.9875311720698264E-2</v>
      </c>
      <c r="F4" s="6">
        <f t="shared" ref="F3:F6" si="2">E4-5*G4*E4*0.95/100</f>
        <v>4.6666186084097429E-2</v>
      </c>
      <c r="G4">
        <f>[1]FAO_2019_animal_trends!$G$40</f>
        <v>1.354588821344141</v>
      </c>
      <c r="H4">
        <f t="shared" ref="H3:H6" si="3">ABS(F4-C4)</f>
        <v>1.0685419163288128E-2</v>
      </c>
    </row>
    <row r="5" spans="1:8" x14ac:dyDescent="0.25">
      <c r="A5" t="s">
        <v>45</v>
      </c>
      <c r="B5">
        <f>Herd_decision_tree!E27</f>
        <v>1.219523264008711</v>
      </c>
      <c r="C5" s="6">
        <f t="shared" si="0"/>
        <v>8.9841228678563756E-2</v>
      </c>
      <c r="D5">
        <f>[1]FAO_2019_animal_trends!$F$38</f>
        <v>4.9875311720698257E-2</v>
      </c>
      <c r="E5">
        <f t="shared" si="1"/>
        <v>4.9875311720698264E-2</v>
      </c>
      <c r="F5" s="6">
        <f t="shared" si="2"/>
        <v>4.7418024088714393E-2</v>
      </c>
      <c r="G5">
        <f>[1]FAO_2019_animal_trends!$G$38</f>
        <v>1.0372340425531916</v>
      </c>
      <c r="H5">
        <f t="shared" si="3"/>
        <v>4.2423204589849363E-2</v>
      </c>
    </row>
    <row r="6" spans="1:8" x14ac:dyDescent="0.25">
      <c r="A6" t="s">
        <v>25</v>
      </c>
      <c r="B6">
        <f>Herd_decision_tree!E23</f>
        <v>5.8655083041073017E-2</v>
      </c>
      <c r="C6" s="6">
        <f t="shared" si="0"/>
        <v>4.3210694573642397E-3</v>
      </c>
      <c r="D6">
        <f>[1]FAO_2019_animal_trends!$F$37</f>
        <v>2.4937655860349127E-3</v>
      </c>
      <c r="E6">
        <f t="shared" si="1"/>
        <v>2.4937655860349131E-3</v>
      </c>
      <c r="F6" s="6">
        <f t="shared" si="2"/>
        <v>-7.7485333020033496E-3</v>
      </c>
      <c r="G6">
        <f>[1]FAO_2019_animal_trends!$G$37</f>
        <v>86.466565349544069</v>
      </c>
      <c r="H6">
        <f t="shared" si="3"/>
        <v>1.2069602759367588E-2</v>
      </c>
    </row>
    <row r="7" spans="1:8" x14ac:dyDescent="0.25">
      <c r="B7">
        <f>SUM(B2:B6)</f>
        <v>13.574205094322036</v>
      </c>
      <c r="D7">
        <f>SUM(D2:D6)</f>
        <v>0.99999999999999989</v>
      </c>
      <c r="H7">
        <f>SUM(H2:H6)</f>
        <v>9.6191870170757338E-2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E56320-BEC2-4269-9329-43A80C09A702}">
  <dimension ref="A1:K42"/>
  <sheetViews>
    <sheetView topLeftCell="A7" workbookViewId="0">
      <selection activeCell="I7" sqref="I7"/>
    </sheetView>
  </sheetViews>
  <sheetFormatPr defaultRowHeight="15" x14ac:dyDescent="0.25"/>
  <cols>
    <col min="1" max="1" width="18.5703125" customWidth="1"/>
    <col min="2" max="4" width="15.28515625" bestFit="1" customWidth="1"/>
    <col min="5" max="5" width="16.28515625" bestFit="1" customWidth="1"/>
    <col min="7" max="7" width="28.42578125" customWidth="1"/>
    <col min="8" max="8" width="31.7109375" customWidth="1"/>
  </cols>
  <sheetData>
    <row r="1" spans="1:11" x14ac:dyDescent="0.25">
      <c r="A1" s="3"/>
      <c r="B1" s="2" t="s">
        <v>2</v>
      </c>
      <c r="C1" s="2" t="s">
        <v>3</v>
      </c>
      <c r="D1" s="2" t="s">
        <v>4</v>
      </c>
      <c r="E1" s="2" t="s">
        <v>32</v>
      </c>
      <c r="G1" s="1" t="s">
        <v>6</v>
      </c>
      <c r="K1" s="1" t="s">
        <v>36</v>
      </c>
    </row>
    <row r="2" spans="1:11" x14ac:dyDescent="0.25">
      <c r="A2" s="2" t="s">
        <v>0</v>
      </c>
      <c r="B2" s="8">
        <f>220785.652176112/1000000</f>
        <v>0.22078565217611199</v>
      </c>
      <c r="C2" s="8">
        <f>467695.362210333/1000000</f>
        <v>0.46769536221033298</v>
      </c>
      <c r="D2" s="8">
        <f>589697.332663339/1000000</f>
        <v>0.58969733266333901</v>
      </c>
      <c r="E2" s="9">
        <f>SUM(B2:D2)</f>
        <v>1.2781783470497841</v>
      </c>
      <c r="G2" t="s">
        <v>9</v>
      </c>
      <c r="H2" t="s">
        <v>7</v>
      </c>
      <c r="I2">
        <v>3.5000000000000001E-3</v>
      </c>
      <c r="K2" t="s">
        <v>39</v>
      </c>
    </row>
    <row r="3" spans="1:11" x14ac:dyDescent="0.25">
      <c r="A3" s="2" t="s">
        <v>1</v>
      </c>
      <c r="B3" s="8">
        <f>4580694.99302149/1000000</f>
        <v>4.5806949930214902</v>
      </c>
      <c r="C3" s="8">
        <f>5931614.27070093/1000000</f>
        <v>5.9316142707009298</v>
      </c>
      <c r="D3" s="8">
        <v>4.9681075438200857</v>
      </c>
      <c r="E3" s="9">
        <f>SUM(B3:D3)</f>
        <v>15.480416807542506</v>
      </c>
      <c r="H3" t="s">
        <v>8</v>
      </c>
      <c r="I3">
        <v>0.68</v>
      </c>
      <c r="K3" t="s">
        <v>40</v>
      </c>
    </row>
    <row r="4" spans="1:11" x14ac:dyDescent="0.25">
      <c r="A4" s="2" t="s">
        <v>5</v>
      </c>
      <c r="B4" s="8">
        <f>SUM(B2:B3)</f>
        <v>4.8014806451976018</v>
      </c>
      <c r="C4" s="8">
        <f>SUM(C2:C3)</f>
        <v>6.3993096329112626</v>
      </c>
      <c r="D4" s="8">
        <f>SUM(D2:D3)</f>
        <v>5.5578048764834245</v>
      </c>
      <c r="E4" s="9">
        <f>SUM(B4:D4)</f>
        <v>16.758595154592289</v>
      </c>
    </row>
    <row r="5" spans="1:11" x14ac:dyDescent="0.25">
      <c r="B5" s="9"/>
      <c r="C5" s="9"/>
      <c r="D5" s="9"/>
      <c r="E5" s="9"/>
      <c r="G5" t="s">
        <v>38</v>
      </c>
      <c r="H5" t="s">
        <v>42</v>
      </c>
      <c r="I5" s="6">
        <f>0.7391304+0.03</f>
        <v>0.76913039999999999</v>
      </c>
      <c r="K5" t="s">
        <v>41</v>
      </c>
    </row>
    <row r="6" spans="1:11" x14ac:dyDescent="0.25">
      <c r="A6" s="5" t="s">
        <v>35</v>
      </c>
      <c r="B6" s="9"/>
      <c r="C6" s="9"/>
      <c r="D6" s="9"/>
      <c r="E6" s="9"/>
      <c r="H6" t="s">
        <v>43</v>
      </c>
      <c r="I6" s="6">
        <f>0.5348+0.05</f>
        <v>0.5848000000000001</v>
      </c>
      <c r="K6" t="s">
        <v>41</v>
      </c>
    </row>
    <row r="7" spans="1:11" x14ac:dyDescent="0.25">
      <c r="A7" s="2" t="s">
        <v>10</v>
      </c>
      <c r="B7" s="9"/>
      <c r="C7" s="9"/>
      <c r="D7" s="9"/>
      <c r="E7" s="9"/>
      <c r="H7" t="s">
        <v>44</v>
      </c>
      <c r="I7">
        <f>0.0567+0.1</f>
        <v>0.15670000000000001</v>
      </c>
      <c r="K7" t="s">
        <v>41</v>
      </c>
    </row>
    <row r="8" spans="1:11" x14ac:dyDescent="0.25">
      <c r="A8" s="3" t="s">
        <v>15</v>
      </c>
      <c r="B8" s="9">
        <f>B3*I5</f>
        <v>3.5231517722606158</v>
      </c>
      <c r="C8" s="9">
        <f>C3*I6</f>
        <v>3.4688080255059042</v>
      </c>
      <c r="D8" s="9"/>
      <c r="E8" s="9">
        <f t="shared" ref="E8:E18" si="0">SUM(B8:D8)</f>
        <v>6.99195979776652</v>
      </c>
    </row>
    <row r="9" spans="1:11" x14ac:dyDescent="0.25">
      <c r="A9" s="3" t="s">
        <v>16</v>
      </c>
      <c r="B9" s="9">
        <f>B8*(1-I9)</f>
        <v>3.0848716917913954</v>
      </c>
      <c r="C9" s="9">
        <f>C8*(1-I9)</f>
        <v>3.0372883071329699</v>
      </c>
      <c r="D9" s="9"/>
      <c r="E9" s="9">
        <f t="shared" si="0"/>
        <v>6.1221599989243654</v>
      </c>
      <c r="G9" t="s">
        <v>50</v>
      </c>
      <c r="H9" t="s">
        <v>11</v>
      </c>
      <c r="I9">
        <f>(0.1244)</f>
        <v>0.1244</v>
      </c>
      <c r="K9" t="s">
        <v>41</v>
      </c>
    </row>
    <row r="10" spans="1:11" x14ac:dyDescent="0.25">
      <c r="A10" s="3" t="s">
        <v>17</v>
      </c>
      <c r="B10" s="9">
        <f>B8*(I9)</f>
        <v>0.43828008046922062</v>
      </c>
      <c r="C10" s="9">
        <f>C8*(I9)</f>
        <v>0.43151971837293446</v>
      </c>
      <c r="D10" s="9"/>
      <c r="E10" s="9">
        <f t="shared" si="0"/>
        <v>0.86979979884215508</v>
      </c>
      <c r="H10" t="s">
        <v>12</v>
      </c>
      <c r="I10">
        <f>(0.07)</f>
        <v>7.0000000000000007E-2</v>
      </c>
      <c r="K10" t="s">
        <v>41</v>
      </c>
    </row>
    <row r="11" spans="1:11" x14ac:dyDescent="0.25">
      <c r="B11" s="9"/>
      <c r="C11" s="9"/>
      <c r="D11" s="9"/>
      <c r="E11" s="9"/>
      <c r="H11" t="s">
        <v>14</v>
      </c>
      <c r="I11">
        <f>(0.08)</f>
        <v>0.08</v>
      </c>
      <c r="K11" t="s">
        <v>41</v>
      </c>
    </row>
    <row r="12" spans="1:11" x14ac:dyDescent="0.25">
      <c r="A12" s="3" t="s">
        <v>18</v>
      </c>
      <c r="B12" s="9"/>
      <c r="C12" s="9">
        <f>C3*(1-I6)</f>
        <v>2.4628062451950257</v>
      </c>
      <c r="D12" s="9">
        <f>D3*(1-I6)</f>
        <v>2.062758252194099</v>
      </c>
      <c r="E12" s="9">
        <f t="shared" si="0"/>
        <v>4.5255644973891247</v>
      </c>
    </row>
    <row r="13" spans="1:11" x14ac:dyDescent="0.25">
      <c r="A13" s="3" t="s">
        <v>19</v>
      </c>
      <c r="B13" s="9"/>
      <c r="C13" s="9">
        <f>C12*(1-I10)</f>
        <v>2.2904098080313737</v>
      </c>
      <c r="D13" s="9">
        <f>D12*(1-I10)</f>
        <v>1.9183651745405119</v>
      </c>
      <c r="E13" s="9">
        <f t="shared" si="0"/>
        <v>4.2087749825718852</v>
      </c>
    </row>
    <row r="14" spans="1:11" x14ac:dyDescent="0.25">
      <c r="A14" s="3" t="s">
        <v>20</v>
      </c>
      <c r="B14" s="9"/>
      <c r="C14" s="9">
        <f>C12*(I10)</f>
        <v>0.1723964371636518</v>
      </c>
      <c r="D14" s="9">
        <f>D12*(I10)</f>
        <v>0.14439307765358694</v>
      </c>
      <c r="E14" s="9">
        <f t="shared" si="0"/>
        <v>0.31678951481723872</v>
      </c>
    </row>
    <row r="15" spans="1:11" x14ac:dyDescent="0.25">
      <c r="B15" s="9"/>
      <c r="C15" s="9"/>
      <c r="D15" s="9"/>
      <c r="E15" s="9"/>
    </row>
    <row r="16" spans="1:11" x14ac:dyDescent="0.25">
      <c r="A16" s="3" t="s">
        <v>13</v>
      </c>
      <c r="B16" s="9"/>
      <c r="C16" s="9"/>
      <c r="D16" s="9">
        <f>D3*I7</f>
        <v>0.7785024521166074</v>
      </c>
      <c r="E16" s="9">
        <f t="shared" si="0"/>
        <v>0.7785024521166074</v>
      </c>
    </row>
    <row r="17" spans="1:7" x14ac:dyDescent="0.25">
      <c r="A17" s="3" t="s">
        <v>21</v>
      </c>
      <c r="B17" s="9"/>
      <c r="C17" s="9"/>
      <c r="D17" s="9">
        <f>D$16*(1-I11)</f>
        <v>0.71622225594727884</v>
      </c>
      <c r="E17" s="9">
        <f t="shared" si="0"/>
        <v>0.71622225594727884</v>
      </c>
    </row>
    <row r="18" spans="1:7" x14ac:dyDescent="0.25">
      <c r="A18" s="3" t="s">
        <v>22</v>
      </c>
      <c r="B18" s="9"/>
      <c r="C18" s="9"/>
      <c r="D18" s="9">
        <f>D$16*(I11)</f>
        <v>6.2280196169328596E-2</v>
      </c>
      <c r="E18" s="9">
        <f t="shared" si="0"/>
        <v>6.2280196169328596E-2</v>
      </c>
    </row>
    <row r="19" spans="1:7" x14ac:dyDescent="0.25">
      <c r="B19" s="9"/>
      <c r="C19" s="9"/>
      <c r="D19" s="9"/>
      <c r="E19" s="9"/>
    </row>
    <row r="20" spans="1:7" x14ac:dyDescent="0.25">
      <c r="B20" s="9"/>
      <c r="C20" s="9"/>
      <c r="D20" s="9"/>
      <c r="E20" s="9"/>
    </row>
    <row r="21" spans="1:7" x14ac:dyDescent="0.25">
      <c r="A21" s="3" t="s">
        <v>30</v>
      </c>
      <c r="B21" s="9">
        <f>SUM(B13:B14)+SUM(B9:B10)</f>
        <v>3.5231517722606158</v>
      </c>
      <c r="C21" s="9">
        <f>SUM(C13:C14)+SUM(C9:C10)</f>
        <v>5.9316142707009298</v>
      </c>
      <c r="D21" s="9">
        <f>SUM(D13:D14)+SUM(D17:D18)</f>
        <v>2.8412607043107063</v>
      </c>
      <c r="E21" s="9">
        <f>SUM(B21:D21)</f>
        <v>12.296026747272251</v>
      </c>
    </row>
    <row r="22" spans="1:7" x14ac:dyDescent="0.25">
      <c r="A22" s="3"/>
      <c r="B22" s="9"/>
      <c r="C22" s="9"/>
      <c r="D22" s="9"/>
      <c r="E22" s="9"/>
    </row>
    <row r="23" spans="1:7" x14ac:dyDescent="0.25">
      <c r="A23" s="3" t="s">
        <v>25</v>
      </c>
      <c r="B23" s="9">
        <f>B4*$I2</f>
        <v>1.6805182258191605E-2</v>
      </c>
      <c r="C23" s="9">
        <f t="shared" ref="C23:D23" si="1">C4*$I2</f>
        <v>2.239758371518942E-2</v>
      </c>
      <c r="D23" s="9">
        <f t="shared" si="1"/>
        <v>1.9452317067691988E-2</v>
      </c>
      <c r="E23" s="9">
        <f>SUM(B23:D23)</f>
        <v>5.8655083041073017E-2</v>
      </c>
    </row>
    <row r="24" spans="1:7" x14ac:dyDescent="0.25">
      <c r="A24" s="3" t="s">
        <v>26</v>
      </c>
      <c r="B24" s="9">
        <f>B23*$I3</f>
        <v>1.1427523935570293E-2</v>
      </c>
      <c r="C24" s="9">
        <f t="shared" ref="C24:D24" si="2">C23*$I3</f>
        <v>1.5230356926328808E-2</v>
      </c>
      <c r="D24" s="9">
        <f t="shared" si="2"/>
        <v>1.3227575606030552E-2</v>
      </c>
      <c r="E24" s="9">
        <f>SUM(B24:D24)</f>
        <v>3.9885456467929653E-2</v>
      </c>
      <c r="G24">
        <f>E24*E42</f>
        <v>4.8827647518794502E-2</v>
      </c>
    </row>
    <row r="25" spans="1:7" x14ac:dyDescent="0.25">
      <c r="A25" s="3" t="s">
        <v>27</v>
      </c>
      <c r="B25" s="9">
        <f>B23*(1-$I3)</f>
        <v>5.3776583226213129E-3</v>
      </c>
      <c r="C25" s="9">
        <f t="shared" ref="C25:D25" si="3">C23*(1-$I3)</f>
        <v>7.1672267888606136E-3</v>
      </c>
      <c r="D25" s="9">
        <f t="shared" si="3"/>
        <v>6.2247414616614354E-3</v>
      </c>
      <c r="E25" s="9">
        <f t="shared" ref="E25:E29" si="4">SUM(B25:D25)</f>
        <v>1.8769626573143364E-2</v>
      </c>
      <c r="G25">
        <f>E25*1.21</f>
        <v>2.271124815350347E-2</v>
      </c>
    </row>
    <row r="26" spans="1:7" x14ac:dyDescent="0.25">
      <c r="A26" s="3"/>
      <c r="B26" s="9"/>
      <c r="C26" s="9"/>
      <c r="D26" s="9"/>
      <c r="E26" s="9"/>
    </row>
    <row r="27" spans="1:7" x14ac:dyDescent="0.25">
      <c r="A27" s="3" t="s">
        <v>24</v>
      </c>
      <c r="B27" s="9">
        <f>B2-B23</f>
        <v>0.20398046991792038</v>
      </c>
      <c r="C27" s="9">
        <f t="shared" ref="C27:D27" si="5">C2-C23</f>
        <v>0.44529777849514357</v>
      </c>
      <c r="D27" s="9">
        <f t="shared" si="5"/>
        <v>0.570245015595647</v>
      </c>
      <c r="E27" s="9">
        <f t="shared" si="4"/>
        <v>1.219523264008711</v>
      </c>
      <c r="G27">
        <f>22*1.21</f>
        <v>26.619999999999997</v>
      </c>
    </row>
    <row r="28" spans="1:7" x14ac:dyDescent="0.25">
      <c r="A28" s="3" t="s">
        <v>28</v>
      </c>
      <c r="B28" s="9">
        <f>B27*($I3)</f>
        <v>0.13870671954418587</v>
      </c>
      <c r="C28" s="9">
        <f t="shared" ref="C28" si="6">C27*($I3)</f>
        <v>0.30280248937669763</v>
      </c>
      <c r="D28" s="9">
        <f>D27*($I3)</f>
        <v>0.38776661060503997</v>
      </c>
      <c r="E28" s="9">
        <f t="shared" si="4"/>
        <v>0.82927581952592355</v>
      </c>
      <c r="G28">
        <f>E28*1.21</f>
        <v>1.0034237416263674</v>
      </c>
    </row>
    <row r="29" spans="1:7" x14ac:dyDescent="0.25">
      <c r="A29" s="3" t="s">
        <v>29</v>
      </c>
      <c r="B29" s="9">
        <f>B27*(1-$I3)</f>
        <v>6.5273750373734507E-2</v>
      </c>
      <c r="C29" s="9">
        <f t="shared" ref="C29:D29" si="7">C27*(1-$I3)</f>
        <v>0.14249528911844592</v>
      </c>
      <c r="D29" s="9">
        <f t="shared" si="7"/>
        <v>0.18247840499060702</v>
      </c>
      <c r="E29" s="9">
        <f t="shared" si="4"/>
        <v>0.39024744448278748</v>
      </c>
    </row>
    <row r="30" spans="1:7" x14ac:dyDescent="0.25">
      <c r="A30" s="3"/>
      <c r="B30" s="9"/>
      <c r="C30" s="9"/>
      <c r="D30" s="9"/>
      <c r="E30" s="9"/>
    </row>
    <row r="31" spans="1:7" x14ac:dyDescent="0.25">
      <c r="A31" s="3" t="s">
        <v>31</v>
      </c>
      <c r="B31" s="9">
        <f>SUM(B9:B10,B13:B14,B24:B25,B28:B29)</f>
        <v>3.7439374244367283</v>
      </c>
      <c r="C31" s="9">
        <f>SUM(C9:C10,C13:C14,C24:C25,C28:C29)</f>
        <v>6.3993096329112626</v>
      </c>
      <c r="D31" s="9">
        <f>SUM(D9:D10,D13:D14,D28:D29,D17:D18)</f>
        <v>3.4115057199063537</v>
      </c>
      <c r="E31" s="9">
        <f>SUM(B31:D31)</f>
        <v>13.554752777254345</v>
      </c>
    </row>
    <row r="32" spans="1:7" x14ac:dyDescent="0.25">
      <c r="B32" s="9"/>
      <c r="C32" s="9"/>
      <c r="D32" s="9"/>
      <c r="E32" s="9"/>
    </row>
    <row r="33" spans="1:7" x14ac:dyDescent="0.25">
      <c r="A33" s="2" t="s">
        <v>37</v>
      </c>
      <c r="B33" s="9"/>
      <c r="C33" s="9"/>
      <c r="D33" s="9"/>
      <c r="E33" s="9"/>
    </row>
    <row r="34" spans="1:7" x14ac:dyDescent="0.25">
      <c r="A34" s="4" t="s">
        <v>33</v>
      </c>
      <c r="B34" s="9"/>
      <c r="C34" s="9"/>
      <c r="D34" s="9"/>
      <c r="E34" s="9"/>
      <c r="G34" s="3"/>
    </row>
    <row r="35" spans="1:7" x14ac:dyDescent="0.25">
      <c r="A35" s="3" t="s">
        <v>23</v>
      </c>
      <c r="B35" s="9">
        <f>SUM(B9,B13)</f>
        <v>3.0848716917913954</v>
      </c>
      <c r="C35" s="9">
        <f t="shared" ref="C35:D36" si="8">SUM(C9,C13)</f>
        <v>5.3276981151643437</v>
      </c>
      <c r="D35" s="9">
        <f>SUM(D13,D17)</f>
        <v>2.634587430487791</v>
      </c>
      <c r="E35" s="9">
        <f>SUM(B35:D35)</f>
        <v>11.04715723744353</v>
      </c>
      <c r="F35">
        <f>E35/E$39</f>
        <v>0.81758574893750713</v>
      </c>
    </row>
    <row r="36" spans="1:7" x14ac:dyDescent="0.25">
      <c r="A36" s="3" t="s">
        <v>51</v>
      </c>
      <c r="B36" s="9">
        <f>SUM(B10,B14)</f>
        <v>0.43828008046922062</v>
      </c>
      <c r="C36" s="9">
        <f t="shared" si="8"/>
        <v>0.60391615553658629</v>
      </c>
      <c r="D36" s="9">
        <f t="shared" si="8"/>
        <v>0.14439307765358694</v>
      </c>
      <c r="E36" s="10">
        <f>SUM(B36:D36)</f>
        <v>1.1865893136593939</v>
      </c>
      <c r="F36">
        <f>E36/E$39</f>
        <v>8.7817932870661489E-2</v>
      </c>
    </row>
    <row r="37" spans="1:7" x14ac:dyDescent="0.25">
      <c r="A37" s="3" t="s">
        <v>52</v>
      </c>
      <c r="B37" s="9">
        <f>SUM(B24,B28)</f>
        <v>0.15013424347975615</v>
      </c>
      <c r="C37" s="9">
        <f t="shared" ref="C37:D37" si="9">SUM(C24,C28)</f>
        <v>0.31803284630302642</v>
      </c>
      <c r="D37" s="9">
        <f t="shared" si="9"/>
        <v>0.40099418621107052</v>
      </c>
      <c r="E37" s="9">
        <f>SUM(B37:D37)</f>
        <v>0.86916127599385307</v>
      </c>
      <c r="F37">
        <f>E37/E$39</f>
        <v>6.432549637044542E-2</v>
      </c>
    </row>
    <row r="38" spans="1:7" x14ac:dyDescent="0.25">
      <c r="A38" s="3" t="s">
        <v>34</v>
      </c>
      <c r="B38" s="9">
        <f>SUM(B25,B29)</f>
        <v>7.0651408696355819E-2</v>
      </c>
      <c r="C38" s="9">
        <f t="shared" ref="C38" si="10">SUM(C25,C29)</f>
        <v>0.14966251590730653</v>
      </c>
      <c r="D38" s="9">
        <f>SUM(D25,D29)</f>
        <v>0.18870314645226846</v>
      </c>
      <c r="E38" s="9">
        <f t="shared" ref="E38" si="11">SUM(B38:D38)</f>
        <v>0.40901707105593077</v>
      </c>
      <c r="F38">
        <f>E38/E$39</f>
        <v>3.0270821821386074E-2</v>
      </c>
    </row>
    <row r="39" spans="1:7" x14ac:dyDescent="0.25">
      <c r="A39" s="3" t="s">
        <v>32</v>
      </c>
      <c r="B39" s="9">
        <f>SUM(B35:B38)</f>
        <v>3.7439374244367278</v>
      </c>
      <c r="C39" s="9">
        <f t="shared" ref="C39:D39" si="12">SUM(C35:C38)</f>
        <v>6.3993096329112626</v>
      </c>
      <c r="D39" s="9">
        <f t="shared" si="12"/>
        <v>3.3686778408047169</v>
      </c>
      <c r="E39" s="9">
        <f>SUM(B39:D39)</f>
        <v>13.511924898152706</v>
      </c>
    </row>
    <row r="41" spans="1:7" x14ac:dyDescent="0.25">
      <c r="A41" s="4"/>
      <c r="E41">
        <f>16.541255</f>
        <v>16.541255</v>
      </c>
    </row>
    <row r="42" spans="1:7" x14ac:dyDescent="0.25">
      <c r="E42">
        <f>E41/E39</f>
        <v>1.2241967835583107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6A4001-CB5D-4E56-8C0D-2957A97A30B1}">
  <dimension ref="A1:E6"/>
  <sheetViews>
    <sheetView workbookViewId="0">
      <selection activeCell="G2" sqref="G2"/>
    </sheetView>
  </sheetViews>
  <sheetFormatPr defaultRowHeight="15" x14ac:dyDescent="0.25"/>
  <cols>
    <col min="2" max="2" width="16.140625" customWidth="1"/>
  </cols>
  <sheetData>
    <row r="1" spans="1:5" x14ac:dyDescent="0.25">
      <c r="B1">
        <v>2020</v>
      </c>
      <c r="C1" t="s">
        <v>48</v>
      </c>
      <c r="D1" t="s">
        <v>49</v>
      </c>
      <c r="E1">
        <v>2050</v>
      </c>
    </row>
    <row r="2" spans="1:5" x14ac:dyDescent="0.25">
      <c r="A2" t="s">
        <v>15</v>
      </c>
      <c r="B2" s="7">
        <f>Validate_2020!B2*Herd_decision_tree!E42</f>
        <v>8.5595346951947899</v>
      </c>
      <c r="C2">
        <f>[1]FAO_2019_animal_trends!$G$35/100</f>
        <v>3.8312009613345605E-3</v>
      </c>
      <c r="D2">
        <f>B2*C2*30</f>
        <v>0.9837989265842042</v>
      </c>
      <c r="E2">
        <f>B2+D2</f>
        <v>9.543333621778995</v>
      </c>
    </row>
    <row r="3" spans="1:5" x14ac:dyDescent="0.25">
      <c r="A3" t="s">
        <v>18</v>
      </c>
      <c r="B3" s="7">
        <f>Validate_2020!B3*Herd_decision_tree!E42</f>
        <v>5.5401815014894495</v>
      </c>
      <c r="C3">
        <f>[1]FAO_2019_animal_trends!$G36/100</f>
        <v>2.7950424483806725E-2</v>
      </c>
      <c r="D3">
        <f t="shared" ref="D3:D6" si="0">B3*C3*30</f>
        <v>4.6455127405189147</v>
      </c>
      <c r="E3">
        <f t="shared" ref="E3:E6" si="1">B3+D3</f>
        <v>10.185694242008363</v>
      </c>
    </row>
    <row r="4" spans="1:5" x14ac:dyDescent="0.25">
      <c r="A4" t="s">
        <v>13</v>
      </c>
      <c r="B4" s="7">
        <f>Validate_2020!B4*Herd_decision_tree!E42</f>
        <v>0.95304019787340866</v>
      </c>
      <c r="C4">
        <f>[1]FAO_2019_animal_trends!$G39/100</f>
        <v>7.6101823708206687E-2</v>
      </c>
      <c r="D4">
        <f t="shared" si="0"/>
        <v>2.1758429137618971</v>
      </c>
      <c r="E4">
        <f t="shared" si="1"/>
        <v>3.1288831116353055</v>
      </c>
    </row>
    <row r="5" spans="1:5" x14ac:dyDescent="0.25">
      <c r="A5" t="s">
        <v>45</v>
      </c>
      <c r="B5" s="7">
        <f>Validate_2020!B5*Herd_decision_tree!E42</f>
        <v>1.4929364572739967</v>
      </c>
      <c r="C5">
        <f>[1]FAO_2019_animal_trends!$G38/100</f>
        <v>1.0372340425531916E-2</v>
      </c>
      <c r="D5">
        <f t="shared" si="0"/>
        <v>0.46455735505600437</v>
      </c>
      <c r="E5">
        <f t="shared" si="1"/>
        <v>1.957493812330001</v>
      </c>
    </row>
    <row r="6" spans="1:5" x14ac:dyDescent="0.25">
      <c r="A6" t="s">
        <v>25</v>
      </c>
      <c r="B6" s="7">
        <f>Validate_2020!B6*Herd_decision_tree!E42</f>
        <v>7.1805363998227206E-2</v>
      </c>
      <c r="C6">
        <f>[1]FAO_2019_animal_trends!$G37/100</f>
        <v>0.86466565349544067</v>
      </c>
      <c r="D6">
        <f t="shared" si="0"/>
        <v>1.8626289595801535</v>
      </c>
      <c r="E6">
        <f t="shared" si="1"/>
        <v>1.9344343235783807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E5D3D0-4020-4418-A256-3E770B560826}">
  <dimension ref="A1:M8"/>
  <sheetViews>
    <sheetView workbookViewId="0">
      <selection activeCell="F8" sqref="F8"/>
    </sheetView>
  </sheetViews>
  <sheetFormatPr defaultRowHeight="15" x14ac:dyDescent="0.25"/>
  <sheetData>
    <row r="1" spans="1:13" x14ac:dyDescent="0.25">
      <c r="B1">
        <v>2020</v>
      </c>
      <c r="G1">
        <v>2050</v>
      </c>
      <c r="L1" t="s">
        <v>59</v>
      </c>
    </row>
    <row r="2" spans="1:13" x14ac:dyDescent="0.25">
      <c r="B2" t="s">
        <v>57</v>
      </c>
      <c r="C2" t="s">
        <v>58</v>
      </c>
      <c r="D2" t="s">
        <v>5</v>
      </c>
      <c r="E2" t="s">
        <v>59</v>
      </c>
      <c r="G2" t="s">
        <v>57</v>
      </c>
      <c r="H2" t="s">
        <v>58</v>
      </c>
      <c r="I2" t="s">
        <v>5</v>
      </c>
      <c r="J2" t="s">
        <v>60</v>
      </c>
      <c r="M2" t="s">
        <v>60</v>
      </c>
    </row>
    <row r="3" spans="1:13" x14ac:dyDescent="0.25">
      <c r="A3" t="s">
        <v>15</v>
      </c>
      <c r="B3">
        <f>[2]Pastoral_Zebu_2020!$K$2</f>
        <v>7912803.5780913802</v>
      </c>
      <c r="C3">
        <f>[3]Pastoral_Boran_2020!$K$2</f>
        <v>1124203.7226895699</v>
      </c>
      <c r="D3">
        <f>SUM(B3:C3)/1000000</f>
        <v>9.0370073007809495</v>
      </c>
      <c r="E3">
        <f>Herd_decision_tree!E8*Herd_decision_tree!$E$42</f>
        <v>8.5595346951947899</v>
      </c>
      <c r="G3">
        <f>[12]Pastoral_Zebu_2050!$K$2</f>
        <v>8554757.4814370908</v>
      </c>
      <c r="H3">
        <f>[13]Pastoral_Boran_2050!$K$2</f>
        <v>1215408.67359516</v>
      </c>
      <c r="I3">
        <f>SUM(G3:H3)/1000000</f>
        <v>9.7701661550322516</v>
      </c>
      <c r="J3">
        <f>I3/D3</f>
        <v>1.0811285008243763</v>
      </c>
      <c r="L3">
        <f>E3+E3*30*Validate_2020!G2/100</f>
        <v>9.5433336217789932</v>
      </c>
      <c r="M3">
        <f>L3/E3</f>
        <v>1.1149360288400367</v>
      </c>
    </row>
    <row r="4" spans="1:13" x14ac:dyDescent="0.25">
      <c r="A4" t="s">
        <v>18</v>
      </c>
      <c r="B4">
        <f>[4]Agpastoral_Zebu_2020!$K$2</f>
        <v>3685141.0110471202</v>
      </c>
      <c r="C4">
        <f>[5]Agpastoral_Boran_2020!$K$2</f>
        <v>277376.20390618598</v>
      </c>
      <c r="D4">
        <f>SUM(B4:C4)/1000000</f>
        <v>3.9625172149533063</v>
      </c>
      <c r="E4">
        <f>Herd_decision_tree!E12*Herd_decision_tree!$E$42</f>
        <v>5.5401815014894495</v>
      </c>
      <c r="G4">
        <f>[18]Agpastoral_Zebu_2050!$K$2</f>
        <v>6488770.1197828101</v>
      </c>
      <c r="H4">
        <f>[14]Agpastoral_Boran_2050!$K$2</f>
        <v>488402.05019366002</v>
      </c>
      <c r="I4">
        <f t="shared" ref="I4:I7" si="0">SUM(G4:H4)/1000000</f>
        <v>6.9771721699764697</v>
      </c>
      <c r="J4">
        <f t="shared" ref="J4:J8" si="1">I4/D4</f>
        <v>1.7607928979202396</v>
      </c>
      <c r="L4">
        <f>E4+E4*30*Validate_2020!G3/100</f>
        <v>10.185694242008363</v>
      </c>
      <c r="M4">
        <f t="shared" ref="M4:M8" si="2">L4/E4</f>
        <v>1.8385127345142016</v>
      </c>
    </row>
    <row r="5" spans="1:13" x14ac:dyDescent="0.25">
      <c r="A5" t="s">
        <v>13</v>
      </c>
      <c r="B5">
        <f>[6]Mixed_Zebu_2020!$K$2</f>
        <v>298374.71550379699</v>
      </c>
      <c r="C5">
        <f>[7]Mixed_Boran_2020!$K$2</f>
        <v>25945.627401560501</v>
      </c>
      <c r="D5">
        <f>SUM(B5:C5)/1000000</f>
        <v>0.32432034290535749</v>
      </c>
      <c r="E5">
        <f>Herd_decision_tree!E16*Herd_decision_tree!$E$42</f>
        <v>0.95304019787340866</v>
      </c>
      <c r="G5">
        <f>[19]Mixed_Zebu_2050!$K$2</f>
        <v>404262.59496554697</v>
      </c>
      <c r="H5">
        <f>[15]Mixed_Boran_2050!$K$2</f>
        <v>35153.269665965803</v>
      </c>
      <c r="I5">
        <f t="shared" si="0"/>
        <v>0.43941586463151278</v>
      </c>
      <c r="J5">
        <f t="shared" si="1"/>
        <v>1.3548822152045585</v>
      </c>
      <c r="L5">
        <f>E5+E5*30*Validate_2020!G4/100</f>
        <v>1.3403334773726869</v>
      </c>
      <c r="M5">
        <f t="shared" si="2"/>
        <v>1.4063766464032423</v>
      </c>
    </row>
    <row r="6" spans="1:13" x14ac:dyDescent="0.25">
      <c r="A6" t="s">
        <v>45</v>
      </c>
      <c r="B6">
        <f>[8]Cowcalf_Boran_2020!$K$2</f>
        <v>1184753.34766715</v>
      </c>
      <c r="C6">
        <f>[9]Cowcalf_Exotic_2020!$K$2</f>
        <v>985977.36353097099</v>
      </c>
      <c r="D6">
        <f t="shared" ref="D6:D7" si="3">SUM(B6:C6)/1000000</f>
        <v>2.1707307111981207</v>
      </c>
      <c r="E6">
        <f>Herd_decision_tree!E27*Herd_decision_tree!$E$42</f>
        <v>1.4929364572739967</v>
      </c>
      <c r="G6">
        <f>[20]Cowcalf_Boran_2050!$K$2</f>
        <v>1806208.69891036</v>
      </c>
      <c r="H6">
        <f>[16]Cowcalf_Exotic_2050!$K$2</f>
        <v>1503165.94333724</v>
      </c>
      <c r="I6">
        <f t="shared" si="0"/>
        <v>3.3093746422476</v>
      </c>
      <c r="J6">
        <f t="shared" si="1"/>
        <v>1.5245440741108842</v>
      </c>
      <c r="L6">
        <f>E6+E6*30*Validate_2020!G5/100</f>
        <v>1.957493812330001</v>
      </c>
      <c r="M6">
        <f t="shared" si="2"/>
        <v>1.3111702127659575</v>
      </c>
    </row>
    <row r="7" spans="1:13" x14ac:dyDescent="0.25">
      <c r="A7" t="s">
        <v>25</v>
      </c>
      <c r="B7">
        <f>[10]Finisher_Boran_2020!$K$2</f>
        <v>26321.876059999999</v>
      </c>
      <c r="C7">
        <f>[11]Finisher_Exotic_2020!$K$2</f>
        <v>12386.7653238613</v>
      </c>
      <c r="D7">
        <f t="shared" si="3"/>
        <v>3.8708641383861299E-2</v>
      </c>
      <c r="E7">
        <f>Herd_decision_tree!E23*Herd_decision_tree!$E$42</f>
        <v>7.1805363998227206E-2</v>
      </c>
      <c r="G7">
        <f>[21]Finisher_Boran_2050!$K$2</f>
        <v>918345.45531155204</v>
      </c>
      <c r="H7">
        <f>[17]Finisher_Exotic_2050!$K$2</f>
        <v>432162.57168335503</v>
      </c>
      <c r="I7">
        <f t="shared" si="0"/>
        <v>1.350508026994907</v>
      </c>
      <c r="J7">
        <f t="shared" si="1"/>
        <v>34.889057810175977</v>
      </c>
      <c r="L7">
        <f>E7+E7*30*Validate_2020!G6/100</f>
        <v>1.9344343235783807</v>
      </c>
      <c r="M7">
        <f>L7/E7</f>
        <v>26.939969604863222</v>
      </c>
    </row>
    <row r="8" spans="1:13" x14ac:dyDescent="0.25">
      <c r="D8">
        <f>SUM(D3:D7)</f>
        <v>15.533284211221597</v>
      </c>
      <c r="E8">
        <f>SUM(E3:E7)</f>
        <v>16.617498215829873</v>
      </c>
      <c r="G8">
        <f>SUM(G3:G7)</f>
        <v>18172344.350407358</v>
      </c>
      <c r="H8">
        <f t="shared" ref="H8:I8" si="4">SUM(H3:H7)</f>
        <v>3674292.5084753809</v>
      </c>
      <c r="I8">
        <f t="shared" si="4"/>
        <v>21.846636858882739</v>
      </c>
      <c r="J8">
        <f>I8/D8</f>
        <v>1.4064402969656753</v>
      </c>
      <c r="L8">
        <f>SUM(L3:L7)</f>
        <v>24.961289477068426</v>
      </c>
      <c r="M8">
        <f>L8/E8</f>
        <v>1.5021087502383623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Validate_2020</vt:lpstr>
      <vt:lpstr>Herd_decision_tree</vt:lpstr>
      <vt:lpstr>Projections</vt:lpstr>
      <vt:lpstr>ZS_Summary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James Hawkins</dc:creator>
  <cp:lastModifiedBy>Hawkins, James (ILRI)</cp:lastModifiedBy>
  <dcterms:created xsi:type="dcterms:W3CDTF">2026-06-13T04:30:46Z</dcterms:created>
  <dcterms:modified xsi:type="dcterms:W3CDTF">2026-06-16T12:18:41Z</dcterms:modified>
</cp:coreProperties>
</file>