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01BF221E-B359-443A-A71F-878D38DA2E15}" xr6:coauthVersionLast="47" xr6:coauthVersionMax="47" xr10:uidLastSave="{00000000-0000-0000-0000-000000000000}"/>
  <bookViews>
    <workbookView xWindow="-120" yWindow="-120" windowWidth="24240" windowHeight="130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4" i="1" l="1"/>
  <c r="K56" i="1"/>
  <c r="I56" i="1"/>
  <c r="N55" i="1"/>
  <c r="N54" i="1" s="1"/>
  <c r="N56" i="1"/>
  <c r="M55" i="1"/>
  <c r="M54" i="1" s="1"/>
  <c r="M56" i="1"/>
  <c r="L56" i="1"/>
  <c r="L55" i="1"/>
  <c r="L54" i="1" s="1"/>
  <c r="K55" i="1"/>
  <c r="I55" i="1"/>
  <c r="I54" i="1" s="1"/>
  <c r="E79" i="1"/>
  <c r="E90" i="1"/>
  <c r="E91" i="1"/>
  <c r="E95" i="1"/>
  <c r="E94" i="1"/>
  <c r="E82" i="1"/>
  <c r="E46" i="1"/>
  <c r="E41" i="1"/>
  <c r="G33" i="1"/>
  <c r="E33" i="1" s="1"/>
  <c r="G30" i="1"/>
  <c r="E31" i="1" s="1"/>
  <c r="E30" i="1"/>
  <c r="G27" i="1"/>
  <c r="E28" i="1" s="1"/>
  <c r="G24" i="1"/>
  <c r="E25" i="1" s="1"/>
  <c r="G21" i="1"/>
  <c r="E22" i="1" s="1"/>
  <c r="G19" i="1"/>
  <c r="E20" i="1" s="1"/>
  <c r="H11" i="1"/>
  <c r="H10" i="1"/>
  <c r="H9" i="1"/>
  <c r="H7" i="1"/>
  <c r="H6" i="1"/>
  <c r="H5" i="1"/>
  <c r="E5" i="1"/>
  <c r="E4" i="1"/>
  <c r="E3" i="1"/>
  <c r="E2" i="1"/>
  <c r="E55" i="1" l="1"/>
  <c r="E56" i="1"/>
  <c r="K54" i="1"/>
  <c r="E54" i="1"/>
  <c r="E21" i="1"/>
  <c r="E13" i="1"/>
  <c r="E27" i="1"/>
  <c r="E11" i="1"/>
  <c r="E7" i="1"/>
  <c r="E19" i="1"/>
  <c r="E14" i="1"/>
  <c r="E24" i="1"/>
  <c r="E8" i="1"/>
  <c r="E10" i="1"/>
</calcChain>
</file>

<file path=xl/sharedStrings.xml><?xml version="1.0" encoding="utf-8"?>
<sst xmlns="http://schemas.openxmlformats.org/spreadsheetml/2006/main" count="102" uniqueCount="81">
  <si>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</si>
  <si>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</si>
  <si>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</si>
  <si>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</si>
  <si>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</si>
  <si>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</si>
  <si>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</si>
  <si>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</si>
  <si>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</si>
  <si>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</si>
  <si>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</si>
  <si>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</si>
  <si>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</si>
  <si>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</si>
  <si>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</si>
  <si>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</si>
  <si>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</si>
  <si>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</si>
  <si>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</si>
  <si>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</si>
  <si>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</si>
  <si>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</si>
  <si>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</si>
  <si>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</si>
  <si>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</si>
  <si>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</si>
  <si>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</si>
  <si>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</si>
  <si>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</si>
  <si>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</si>
  <si>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</si>
  <si>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</si>
  <si>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</si>
  <si>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</si>
  <si>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</si>
  <si>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</si>
  <si>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</si>
  <si>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PUF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</si>
  <si>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</si>
  <si>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</si>
  <si>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</si>
  <si>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</si>
  <si>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</si>
  <si>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</si>
  <si>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</si>
  <si>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</si>
  <si>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</si>
  <si>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</si>
  <si>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</si>
  <si>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</si>
  <si>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</si>
  <si>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</si>
  <si>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</si>
  <si>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</si>
  <si>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</si>
  <si>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</si>
  <si>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</si>
  <si>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</si>
  <si>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</si>
  <si>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</si>
  <si>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</si>
  <si>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</si>
  <si>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</si>
  <si>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</si>
  <si>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</si>
  <si>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</si>
  <si>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</si>
  <si>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</si>
  <si>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</si>
  <si>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</si>
  <si>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</si>
  <si>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</si>
  <si>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</si>
  <si>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("NPP_2020@1")*("2020_LC_LR_is_grassland@1"=1)</t>
  </si>
  <si>
    <t>("NPP_2020@1")*("2020_LC_LR_is_cropland@1"=1)</t>
  </si>
  <si>
    <t>("NPP_2020@1")*("2020_LC_LR_is_shrubland@1"=1)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</si>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</sst>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99"/>
  <sheetViews>
    <sheetView tabSelected="1" topLeftCell="A61" workbookViewId="0">
      <selection activeCell="F72" sqref="F72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7" spans="4:7" x14ac:dyDescent="0.25">
      <c r="D17" s="3" t="s">
        <v>19</v>
      </c>
    </row>
    <row r="19" spans="4:7" x14ac:dyDescent="0.25">
      <c r="D19" t="s">
        <v>0</v>
      </c>
      <c r="E19" t="str">
        <f>_xlfn.CONCAT("'Finisher_Boran@1'+(30/100)*'Finisher_Boran@1'*(",G19,")")</f>
        <v>'Finisher_Boran@1'+(30/100)*'Finisher_Boran@1'*(86.4665653495441)</v>
      </c>
      <c r="G19">
        <f>[1]FAO_2019_animal_trends!G37</f>
        <v>86.466565349544069</v>
      </c>
    </row>
    <row r="20" spans="4:7" x14ac:dyDescent="0.25">
      <c r="D20" t="s">
        <v>2</v>
      </c>
      <c r="E20" t="str">
        <f>_xlfn.CONCAT("'Finisher_Exotic@1'+(30/100)*'Finisher_Exotic@1'*(",G19,")")</f>
        <v>'Finisher_Exotic@1'+(30/100)*'Finisher_Exotic@1'*(86.4665653495441)</v>
      </c>
    </row>
    <row r="21" spans="4:7" x14ac:dyDescent="0.25">
      <c r="D21" t="s">
        <v>4</v>
      </c>
      <c r="E21" t="str">
        <f>_xlfn.CONCAT("'Cowcalf_Boran@1'+(30/100)*'Cowcalf_Boran@1'*(",G21,")")</f>
        <v>'Cowcalf_Boran@1'+(30/100)*'Cowcalf_Boran@1'*(1.03723404255319)</v>
      </c>
      <c r="G21">
        <f>[1]FAO_2019_animal_trends!G38</f>
        <v>1.0372340425531916</v>
      </c>
    </row>
    <row r="22" spans="4:7" x14ac:dyDescent="0.25">
      <c r="D22" t="s">
        <v>6</v>
      </c>
      <c r="E22" t="str">
        <f>_xlfn.CONCAT("'Cowcalf_Exotic@1'+(30/100)*'Cowcalf_Exotic@1'*(",G21,")")</f>
        <v>'Cowcalf_Exotic@1'+(30/100)*'Cowcalf_Exotic@1'*(1.03723404255319)</v>
      </c>
    </row>
    <row r="24" spans="4:7" x14ac:dyDescent="0.25">
      <c r="D24" t="s">
        <v>9</v>
      </c>
      <c r="E24" t="str">
        <f>_xlfn.CONCAT("'Pastoral_Zebu@1'+(30/100)*'Pastoral_Zebu@1'*(",G24,")")</f>
        <v>'Pastoral_Zebu@1'+(30/100)*'Pastoral_Zebu@1'*(0.383120096133456)</v>
      </c>
      <c r="G24">
        <f>[1]FAO_2019_animal_trends!G35</f>
        <v>0.38312009613345605</v>
      </c>
    </row>
    <row r="25" spans="4:7" x14ac:dyDescent="0.25">
      <c r="D25" t="s">
        <v>11</v>
      </c>
      <c r="E25" t="str">
        <f>_xlfn.CONCAT("'Pastoral_Boran@1'+(30/100)*'Pastoral_Boran@1'*(",G24,")")</f>
        <v>'Pastoral_Boran@1'+(30/100)*'Pastoral_Boran@1'*(0.383120096133456)</v>
      </c>
    </row>
    <row r="27" spans="4:7" x14ac:dyDescent="0.25">
      <c r="D27" t="s">
        <v>13</v>
      </c>
      <c r="E27" t="str">
        <f>_xlfn.CONCAT("'Agpastoral_Zebu@1'+(30/100)*'Agpastoral_Zebu@1'*(",G27,")")</f>
        <v>'Agpastoral_Zebu@1'+(30/100)*'Agpastoral_Zebu@1'*(2.79504244838067)</v>
      </c>
      <c r="G27">
        <f>[1]FAO_2019_animal_trends!G36</f>
        <v>2.7950424483806726</v>
      </c>
    </row>
    <row r="28" spans="4:7" x14ac:dyDescent="0.25">
      <c r="D28" t="s">
        <v>15</v>
      </c>
      <c r="E28" t="str">
        <f>_xlfn.CONCAT("'Agpastoral_Boran@1'+(30/100)*'Agpastoral_Boran@1'*(",G27,")")</f>
        <v>'Agpastoral_Boran@1'+(30/100)*'Agpastoral_Boran@1'*(2.79504244838067)</v>
      </c>
    </row>
    <row r="30" spans="4:7" x14ac:dyDescent="0.25">
      <c r="D30" t="s">
        <v>17</v>
      </c>
      <c r="E30" t="str">
        <f>_xlfn.CONCAT("'Mixed_Zebu@1'+(30/100)*'Mixed_Zebu@1'*(",G30,")")</f>
        <v>'Mixed_Zebu@1'+(30/100)*'Mixed_Zebu@1'*(1.35458882134414)</v>
      </c>
      <c r="G30">
        <f>[1]FAO_2019_animal_trends!G40</f>
        <v>1.354588821344141</v>
      </c>
    </row>
    <row r="31" spans="4:7" x14ac:dyDescent="0.25">
      <c r="D31" t="s">
        <v>18</v>
      </c>
      <c r="E31" t="str">
        <f>_xlfn.CONCAT("'Mixed_Boran@1'+(30/100)*'Mixed_Boran@1'*(",G30,")")</f>
        <v>'Mixed_Boran@1'+(30/100)*'Mixed_Boran@1'*(1.35458882134414)</v>
      </c>
    </row>
    <row r="33" spans="4:9" x14ac:dyDescent="0.25">
      <c r="D33" t="s">
        <v>20</v>
      </c>
      <c r="E33" t="str">
        <f>_xlfn.CONCAT("'Dairy_density_total_adj_h_km2@1'+(30/100)*'Dairy_density_total_adj_h_km2@1'*(",G33,")")</f>
        <v>'Dairy_density_total_adj_h_km2@1'+(30/100)*'Dairy_density_total_adj_h_km2@1'*(1.35458882134414)</v>
      </c>
      <c r="G33">
        <f>[1]FAO_2019_animal_trends!G40</f>
        <v>1.354588821344141</v>
      </c>
    </row>
    <row r="35" spans="4:9" x14ac:dyDescent="0.25">
      <c r="D35" t="s">
        <v>21</v>
      </c>
      <c r="E35" s="1" t="s">
        <v>22</v>
      </c>
    </row>
    <row r="39" spans="4:9" x14ac:dyDescent="0.25">
      <c r="D39" t="s">
        <v>23</v>
      </c>
    </row>
    <row r="40" spans="4:9" x14ac:dyDescent="0.25">
      <c r="D40">
        <v>2020</v>
      </c>
    </row>
    <row r="41" spans="4:9" x14ac:dyDescent="0.25">
      <c r="D41" t="s">
        <v>24</v>
      </c>
      <c r="E41" t="str">
        <f>_xlfn.CONCAT("365*(1/100)*('Beef_density_total_adj_h_km2@1'*(",I41,")+'Dairy_density_total_adj_h_km2@1'*(",I42,"))*(1-(",I43,"))*(",I44,")")</f>
        <v>365*(1/100)*('Beef_density_total_adj_h_km2@1'*(167)+'Dairy_density_total_adj_h_km2@1'*(200))*(1-(0.02))*(0.025)</v>
      </c>
      <c r="H41" t="s">
        <v>25</v>
      </c>
      <c r="I41">
        <v>167</v>
      </c>
    </row>
    <row r="42" spans="4:9" x14ac:dyDescent="0.25">
      <c r="H42" t="s">
        <v>26</v>
      </c>
      <c r="I42">
        <v>200</v>
      </c>
    </row>
    <row r="43" spans="4:9" x14ac:dyDescent="0.25">
      <c r="H43" t="s">
        <v>27</v>
      </c>
      <c r="I43">
        <v>0.02</v>
      </c>
    </row>
    <row r="44" spans="4:9" x14ac:dyDescent="0.25">
      <c r="H44" t="s">
        <v>28</v>
      </c>
      <c r="I44">
        <v>2.5000000000000001E-2</v>
      </c>
    </row>
    <row r="45" spans="4:9" x14ac:dyDescent="0.25">
      <c r="D45">
        <v>2050</v>
      </c>
    </row>
    <row r="46" spans="4:9" x14ac:dyDescent="0.25">
      <c r="D46" t="s">
        <v>24</v>
      </c>
      <c r="E46" t="str">
        <f>_xlfn.CONCAT("365*(1/100)*('Beef_density_total_2050_adj_h_km2@1'*(",I41,")+'Dairy_total_2050@1'*(",I42,"))*(1-(",I43,"))*(",I44,")")</f>
        <v>365*(1/100)*('Beef_density_total_2050_adj_h_km2@1'*(167)+'Dairy_total_2050@1'*(200))*(1-(0.02))*(0.025)</v>
      </c>
    </row>
    <row r="51" spans="4:14" x14ac:dyDescent="0.25">
      <c r="D51" s="3" t="s">
        <v>29</v>
      </c>
    </row>
    <row r="52" spans="4:14" x14ac:dyDescent="0.25">
      <c r="D52" s="3" t="s">
        <v>30</v>
      </c>
    </row>
    <row r="53" spans="4:14" x14ac:dyDescent="0.25">
      <c r="E53" t="s">
        <v>61</v>
      </c>
      <c r="I53" t="s">
        <v>60</v>
      </c>
      <c r="J53" t="s">
        <v>64</v>
      </c>
      <c r="K53" t="s">
        <v>63</v>
      </c>
      <c r="L53" t="s">
        <v>65</v>
      </c>
      <c r="M53" t="s">
        <v>66</v>
      </c>
      <c r="N53" t="s">
        <v>67</v>
      </c>
    </row>
    <row r="54" spans="4:14" ht="75" x14ac:dyDescent="0.25">
      <c r="D54" t="s">
        <v>69</v>
      </c>
      <c r="E54" s="4" t="str">
        <f>_xlfn.CONCAT("('MODIS_NPP_RAST_2014_LR@1')*('clipped_LPS@1'=2)*((",I54,")*(",G54,")+1)+('MODIS_NPP_RAST_2014_LR@1')*('clipped_LPS@1'=3)*((",J54,")*(",G54,")+1)+('MODIS_NPP_RAST_2014_LR@1')*('clipped_LPS@1'=4)*((",K54,")*(",G54,")+1)+('MODIS_NPP_RAST_2014_LR@1')*('clipped_LPS@1'=6)*((",L54,")*(",G54,")+1)+('MODIS_NPP_RAST_2014_LR@1')*('clipped_LPS@1'=7)*((",M54,")*(",G54,")+1)+('MODIS_NPP_RAST_2014_LR@1')*('clipped_LPS@1'=8)*((",N54,")*(",G54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-0.168421052631579)*(0.16667)+1)
</v>
      </c>
      <c r="F54" t="s">
        <v>70</v>
      </c>
      <c r="G54">
        <v>0.16667000000000001</v>
      </c>
      <c r="I54">
        <f>I55-1</f>
        <v>0.10416666666666674</v>
      </c>
      <c r="J54">
        <f t="shared" ref="J54:N54" si="0">J55-1</f>
        <v>0</v>
      </c>
      <c r="K54">
        <f t="shared" si="0"/>
        <v>-9.5238095238095344E-2</v>
      </c>
      <c r="L54">
        <f t="shared" si="0"/>
        <v>2.1276595744680771E-2</v>
      </c>
      <c r="M54">
        <f t="shared" si="0"/>
        <v>-5.9999999999999942E-2</v>
      </c>
      <c r="N54">
        <f t="shared" si="0"/>
        <v>-0.16842105263157892</v>
      </c>
    </row>
    <row r="55" spans="4:14" ht="126" customHeight="1" x14ac:dyDescent="0.25">
      <c r="D55" s="3" t="s">
        <v>31</v>
      </c>
      <c r="E55" s="4" t="str">
        <f>_xlfn.CONCAT("('MODIS_NPP_RAST_2014_LR@1')*('clipped_LPS@1'=2)*(",I55,") +('MODIS_NPP_RAST_2014_LR@1')*('clipped_LPS@1'=3)*(",J55,")+('MODIS_NPP_RAST_2014_LR@1')*('clipped_LPS@1'=4)*(",K55,")+('MODIS_NPP_RAST_2014_LR@1')*('clipped_LPS@1'=6)*(",L55,")+('MODIS_NPP_RAST_2014_LR@1')*('clipped_LPS@1'=7)*(",M55,")+('MODIS_NPP_RAST_2014_LR@1')*('clipped_LPS@1'=8)*(",N55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(0.831578947368421) 
</v>
      </c>
      <c r="H55" t="s">
        <v>68</v>
      </c>
      <c r="I55">
        <f>26.5/24</f>
        <v>1.1041666666666667</v>
      </c>
      <c r="J55">
        <v>1</v>
      </c>
      <c r="K55">
        <f>3.8/4.2</f>
        <v>0.90476190476190466</v>
      </c>
      <c r="L55">
        <f>4.8/4.7</f>
        <v>1.0212765957446808</v>
      </c>
      <c r="M55">
        <f>2.35/2.5</f>
        <v>0.94000000000000006</v>
      </c>
      <c r="N55">
        <f>7.9/9.5</f>
        <v>0.83157894736842108</v>
      </c>
    </row>
    <row r="56" spans="4:14" ht="60" x14ac:dyDescent="0.25">
      <c r="D56" s="3" t="s">
        <v>32</v>
      </c>
      <c r="E56" s="4" t="str">
        <f>_xlfn.CONCAT("('MODIS_NPP_RAST_2014_LR@1')*('clipped_LPS@1'=2)*(",I56,")+('MODIS_NPP_RAST_2014_LR@1')*('clipped_LPS@1'=3)*(",J56,")+('MODIS_NPP_RAST_2014_LR@1')*('clipped_LPS@1'=4)*(",K56,")+('MODIS_NPP_RAST_2014_LR@1')*('clipped_LPS@1'=7)*(",L56,")+('MODIS_NPP_RAST_2014_LR@1')*('clipped_LPS@1'=7)*(",M56,")+('MODIS_NPP_RAST_2014_LR@1')*('clipped_LPS@1'=8)*(",N56,") ) 
")</f>
        <v xml:space="preserve">('MODIS_NPP_RAST_2014_LR@1')*('clipped_LPS@1'=2)*(1.175)+('MODIS_NPP_RAST_2014_LR@1')*('clipped_LPS@1'=3)*(1)+('MODIS_NPP_RAST_2014_LR@1')*('clipped_LPS@1'=4)*(1.28813559322034)+('MODIS_NPP_RAST_2014_LR@1')*('clipped_LPS@1'=7)*(1.01063829787234)+('MODIS_NPP_RAST_2014_LR@1')*('clipped_LPS@1'=7)*(0.86)+('MODIS_NPP_RAST_2014_LR@1')*('clipped_LPS@1'=8)*(0.926315789473684) ) 
</v>
      </c>
      <c r="H56" t="s">
        <v>62</v>
      </c>
      <c r="I56">
        <f>28.2/24</f>
        <v>1.175</v>
      </c>
      <c r="J56">
        <v>1</v>
      </c>
      <c r="K56">
        <f>3.8/2.95</f>
        <v>1.2881355932203389</v>
      </c>
      <c r="L56">
        <f>4.75/4.7</f>
        <v>1.0106382978723405</v>
      </c>
      <c r="M56">
        <f>2.15/2.5</f>
        <v>0.86</v>
      </c>
      <c r="N56">
        <f>8.8/9.5</f>
        <v>0.92631578947368431</v>
      </c>
    </row>
    <row r="57" spans="4:14" ht="84" customHeight="1" x14ac:dyDescent="0.25">
      <c r="D57" s="3"/>
      <c r="E57" s="4"/>
    </row>
    <row r="61" spans="4:14" x14ac:dyDescent="0.25">
      <c r="D61" s="3" t="s">
        <v>33</v>
      </c>
    </row>
    <row r="62" spans="4:14" x14ac:dyDescent="0.25">
      <c r="D62" s="3"/>
      <c r="E62" t="s">
        <v>58</v>
      </c>
    </row>
    <row r="63" spans="4:14" x14ac:dyDescent="0.25">
      <c r="D63" s="3">
        <v>2020</v>
      </c>
    </row>
    <row r="64" spans="4:14" x14ac:dyDescent="0.25">
      <c r="D64" s="3" t="s">
        <v>55</v>
      </c>
      <c r="E64" s="7" t="s">
        <v>73</v>
      </c>
    </row>
    <row r="65" spans="4:9" x14ac:dyDescent="0.25">
      <c r="D65" s="3" t="s">
        <v>56</v>
      </c>
      <c r="E65" s="7" t="s">
        <v>74</v>
      </c>
    </row>
    <row r="66" spans="4:9" x14ac:dyDescent="0.25">
      <c r="D66" s="3" t="s">
        <v>57</v>
      </c>
      <c r="E66" s="7" t="s">
        <v>75</v>
      </c>
    </row>
    <row r="67" spans="4:9" x14ac:dyDescent="0.25">
      <c r="D67" s="3"/>
    </row>
    <row r="68" spans="4:9" x14ac:dyDescent="0.25">
      <c r="D68" s="3" t="s">
        <v>71</v>
      </c>
    </row>
    <row r="69" spans="4:9" x14ac:dyDescent="0.25">
      <c r="D69" s="3" t="s">
        <v>55</v>
      </c>
      <c r="E69" s="7" t="s">
        <v>76</v>
      </c>
    </row>
    <row r="70" spans="4:9" x14ac:dyDescent="0.25">
      <c r="D70" s="3" t="s">
        <v>56</v>
      </c>
      <c r="E70" s="8" t="s">
        <v>77</v>
      </c>
      <c r="F70" t="s">
        <v>79</v>
      </c>
    </row>
    <row r="71" spans="4:9" x14ac:dyDescent="0.25">
      <c r="D71" s="3" t="s">
        <v>57</v>
      </c>
      <c r="E71" s="8" t="s">
        <v>78</v>
      </c>
      <c r="F71" t="s">
        <v>80</v>
      </c>
    </row>
    <row r="72" spans="4:9" x14ac:dyDescent="0.25">
      <c r="D72" s="3"/>
    </row>
    <row r="73" spans="4:9" x14ac:dyDescent="0.25">
      <c r="D73" s="3" t="s">
        <v>72</v>
      </c>
    </row>
    <row r="74" spans="4:9" x14ac:dyDescent="0.25">
      <c r="D74" s="3" t="s">
        <v>55</v>
      </c>
    </row>
    <row r="75" spans="4:9" x14ac:dyDescent="0.25">
      <c r="D75" s="3" t="s">
        <v>56</v>
      </c>
    </row>
    <row r="76" spans="4:9" x14ac:dyDescent="0.25">
      <c r="D76" s="3" t="s">
        <v>57</v>
      </c>
    </row>
    <row r="77" spans="4:9" x14ac:dyDescent="0.25">
      <c r="D77" s="3"/>
    </row>
    <row r="79" spans="4:9" x14ac:dyDescent="0.25">
      <c r="D79" s="3" t="s">
        <v>34</v>
      </c>
      <c r="E79" t="str">
        <f>_xlfn.CONCAT("'MODIS_2020_ALL_final@1'*(((2020_LC_is_grassland@1=1)*(",I83,"))+((2020_LC_is_cropland@1=1)(",I84,"))+((2020_LC_is_shrubland@1=1)*(",I85,")))*(",I79,")*(",I80,")*(",I81,")")</f>
        <v>'MODIS_2020_ALL_final@1'*(((2020_LC_is_grassland@1=1)*(1))+((2020_LC_is_cropland@1=1)(0.34))+((2020_LC_is_shrubland@1=1)*(0.4)))*(0.5)*(0.44)*(0.3)</v>
      </c>
      <c r="H79" t="s">
        <v>35</v>
      </c>
      <c r="I79">
        <v>0.5</v>
      </c>
    </row>
    <row r="80" spans="4:9" x14ac:dyDescent="0.25">
      <c r="D80" s="3"/>
      <c r="H80" t="s">
        <v>36</v>
      </c>
      <c r="I80">
        <v>0.44</v>
      </c>
    </row>
    <row r="81" spans="4:9" x14ac:dyDescent="0.25">
      <c r="D81" s="3"/>
      <c r="H81" t="s">
        <v>37</v>
      </c>
      <c r="I81">
        <v>0.3</v>
      </c>
    </row>
    <row r="82" spans="4:9" x14ac:dyDescent="0.25">
      <c r="D82" s="3" t="s">
        <v>38</v>
      </c>
      <c r="E82" t="str">
        <f>_xlfn.CONCAT("'MODIS_2020_ALL_final@1'*(((2020_LC_is_cropland@1=1)*(",I91,")))*(",I87,")*(",I88,")*(",I89,")")</f>
        <v>'MODIS_2020_ALL_final@1'*(((2020_LC_is_cropland@1=1)*(0.4)))*(0.4)*(0.5)*(0.5)</v>
      </c>
    </row>
    <row r="83" spans="4:9" x14ac:dyDescent="0.25">
      <c r="D83" s="3"/>
      <c r="H83" t="s">
        <v>39</v>
      </c>
      <c r="I83" s="5">
        <v>1</v>
      </c>
    </row>
    <row r="84" spans="4:9" x14ac:dyDescent="0.25">
      <c r="D84" s="3"/>
      <c r="H84" t="s">
        <v>40</v>
      </c>
      <c r="I84" s="5">
        <v>0.34</v>
      </c>
    </row>
    <row r="85" spans="4:9" x14ac:dyDescent="0.25">
      <c r="D85" s="3" t="s">
        <v>41</v>
      </c>
      <c r="E85" t="s">
        <v>42</v>
      </c>
      <c r="H85" t="s">
        <v>43</v>
      </c>
      <c r="I85" s="5">
        <v>0.4</v>
      </c>
    </row>
    <row r="86" spans="4:9" x14ac:dyDescent="0.25">
      <c r="H86" t="s">
        <v>59</v>
      </c>
      <c r="I86" s="5">
        <v>0.85</v>
      </c>
    </row>
    <row r="87" spans="4:9" x14ac:dyDescent="0.25">
      <c r="D87" s="3" t="s">
        <v>44</v>
      </c>
      <c r="H87" s="6" t="s">
        <v>45</v>
      </c>
      <c r="I87" s="5">
        <v>0.4</v>
      </c>
    </row>
    <row r="88" spans="4:9" x14ac:dyDescent="0.25">
      <c r="H88" s="6" t="s">
        <v>46</v>
      </c>
      <c r="I88" s="5">
        <v>0.5</v>
      </c>
    </row>
    <row r="89" spans="4:9" x14ac:dyDescent="0.25">
      <c r="D89" t="s">
        <v>47</v>
      </c>
      <c r="H89" s="6" t="s">
        <v>48</v>
      </c>
      <c r="I89" s="5">
        <v>0.5</v>
      </c>
    </row>
    <row r="90" spans="4:9" x14ac:dyDescent="0.25">
      <c r="D90" t="s">
        <v>49</v>
      </c>
      <c r="E90" t="str">
        <f>_xlfn.CONCAT("'MODIS_NPP_2050_R4@1'*(((2020_LC_is_grassland@1=1)*(",I83,"))+((2020_LC_is_cropland@1=1)(",I84,"))+((2020_LC_is_shrubland@1=1)*(",I85,")))*(",I79,")*(",I80,")*(",I81,")")</f>
        <v>'MODIS_NPP_2050_R4@1'*(((2020_LC_is_grassland@1=1)*(1))+((2020_LC_is_cropland@1=1)(0.34))+((2020_LC_is_shrubland@1=1)*(0.4)))*(0.5)*(0.44)*(0.3)</v>
      </c>
    </row>
    <row r="91" spans="4:9" x14ac:dyDescent="0.25">
      <c r="D91" t="s">
        <v>50</v>
      </c>
      <c r="E91" t="str">
        <f>_xlfn.CONCAT("'MODIS_NPP_2050_R8@1'*(((2020_LC_is_grassland)*(",I83,"))+((E75@1=1)(",I84,"))+((2020_LC_is_shrubland@1=1)*(",I85,")))*(",I79,")*(",I80,")*(",I81,")")</f>
        <v>'MODIS_NPP_2050_R8@1'*(((2020_LC_is_grassland)*(1))+((E75@1=1)(0.34))+((2020_LC_is_shrubland@1=1)*(0.4)))*(0.5)*(0.44)*(0.3)</v>
      </c>
      <c r="H91" t="s">
        <v>51</v>
      </c>
      <c r="I91" s="5">
        <v>0.4</v>
      </c>
    </row>
    <row r="93" spans="4:9" x14ac:dyDescent="0.25">
      <c r="D93" t="s">
        <v>52</v>
      </c>
      <c r="I93" s="5"/>
    </row>
    <row r="94" spans="4:9" x14ac:dyDescent="0.25">
      <c r="D94" t="s">
        <v>49</v>
      </c>
      <c r="E94" t="str">
        <f>_xlfn.CONCAT("'MODIS_NPP_2050_R4@1'*(((2020_LC_is_cropland@1=1)*(",I91,")))*(",I87,")*(",I88,")*(",I89,")")</f>
        <v>'MODIS_NPP_2050_R4@1'*(((2020_LC_is_cropland@1=1)*(0.4)))*(0.4)*(0.5)*(0.5)</v>
      </c>
    </row>
    <row r="95" spans="4:9" x14ac:dyDescent="0.25">
      <c r="D95" t="s">
        <v>50</v>
      </c>
      <c r="E95" t="str">
        <f>_xlfn.CONCAT("'MODIS_NPP_2050_R8@1'*(((2020_LC_is_cropland@1=1)*(",I91,")))*(",I87,")*(",I88,")*(",I89,")")</f>
        <v>'MODIS_NPP_2050_R8@1'*(((2020_LC_is_cropland@1=1)*(0.4)))*(0.4)*(0.5)*(0.5)</v>
      </c>
    </row>
    <row r="97" spans="4:5" x14ac:dyDescent="0.25">
      <c r="D97" s="3" t="s">
        <v>41</v>
      </c>
      <c r="E97" t="s">
        <v>42</v>
      </c>
    </row>
    <row r="98" spans="4:5" x14ac:dyDescent="0.25">
      <c r="D98" t="s">
        <v>53</v>
      </c>
    </row>
    <row r="99" spans="4:5" x14ac:dyDescent="0.25">
      <c r="D99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2026-06-18T07:36:57Z</dcterms:modified>
</cp:coreProperties>
</file>