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Hawkins\Documents\Github\KE.beef.spatial\"/>
    </mc:Choice>
  </mc:AlternateContent>
  <xr:revisionPtr revIDLastSave="0" documentId="13_ncr:1_{0911EB43-0D8F-4A35-85AD-1221D7D9E630}" xr6:coauthVersionLast="47" xr6:coauthVersionMax="47" xr10:uidLastSave="{00000000-0000-0000-0000-000000000000}"/>
  <bookViews>
    <workbookView xWindow="-120" yWindow="-120" windowWidth="21840" windowHeight="13020" xr2:uid="{E8C4D828-59A7-4D6B-8FA1-BE0758A76F31}"/>
  </bookViews>
  <sheets>
    <sheet name="Raster_logic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6" i="1" l="1"/>
  <c r="K56" i="1"/>
  <c r="K55" i="1"/>
  <c r="N56" i="1"/>
  <c r="N55" i="1"/>
  <c r="N54" i="1" s="1"/>
  <c r="J54" i="1"/>
  <c r="I56" i="1"/>
  <c r="M55" i="1"/>
  <c r="M54" i="1" s="1"/>
  <c r="M56" i="1"/>
  <c r="L56" i="1"/>
  <c r="L55" i="1"/>
  <c r="L54" i="1" s="1"/>
  <c r="I55" i="1"/>
  <c r="I54" i="1" s="1"/>
  <c r="E79" i="1"/>
  <c r="E90" i="1"/>
  <c r="E91" i="1"/>
  <c r="E95" i="1"/>
  <c r="E94" i="1"/>
  <c r="E82" i="1"/>
  <c r="E46" i="1"/>
  <c r="E41" i="1"/>
  <c r="G33" i="1"/>
  <c r="E33" i="1" s="1"/>
  <c r="G30" i="1"/>
  <c r="E31" i="1" s="1"/>
  <c r="E30" i="1"/>
  <c r="G27" i="1"/>
  <c r="E28" i="1" s="1"/>
  <c r="G24" i="1"/>
  <c r="E25" i="1" s="1"/>
  <c r="G21" i="1"/>
  <c r="E22" i="1" s="1"/>
  <c r="G19" i="1"/>
  <c r="E20" i="1" s="1"/>
  <c r="H11" i="1"/>
  <c r="H10" i="1"/>
  <c r="H9" i="1"/>
  <c r="H7" i="1"/>
  <c r="H6" i="1"/>
  <c r="H5" i="1"/>
  <c r="E5" i="1"/>
  <c r="E4" i="1"/>
  <c r="E3" i="1"/>
  <c r="E2" i="1"/>
  <c r="E55" i="1" l="1"/>
  <c r="K54" i="1"/>
  <c r="E54" i="1"/>
  <c r="E21" i="1"/>
  <c r="E13" i="1"/>
  <c r="E27" i="1"/>
  <c r="E11" i="1"/>
  <c r="E7" i="1"/>
  <c r="E19" i="1"/>
  <c r="E14" i="1"/>
  <c r="E24" i="1"/>
  <c r="E8" i="1"/>
  <c r="E10" i="1"/>
</calcChain>
</file>

<file path=xl/sharedStrings.xml><?xml version="1.0" encoding="utf-8"?>
<sst xmlns="http://schemas.openxmlformats.org/spreadsheetml/2006/main" count="108" uniqueCount="87">
  <si>
    <t>Finisher Boran</t>
  </si>
  <si>
    <t>Frac finisher to total animal population</t>
  </si>
  <si>
    <t>Finisher Exotic</t>
  </si>
  <si>
    <t>Frac boran to total herd</t>
  </si>
  <si>
    <t>Cowcalf Boran</t>
  </si>
  <si>
    <t>(",H7,")</t>
  </si>
  <si>
    <t>Cowcalf Exotic</t>
  </si>
  <si>
    <t>Frac pastoral to agpastoral - arid</t>
  </si>
  <si>
    <t>Frac pastoral to agpastoral - semiarid</t>
  </si>
  <si>
    <t>Pastoral Zebu</t>
  </si>
  <si>
    <t>Frac mixed to agropastoral - semi arid</t>
  </si>
  <si>
    <t>Pastoral Boran</t>
  </si>
  <si>
    <t>Pastoral -- frac boran to total herd</t>
  </si>
  <si>
    <t>Agpastoral Zebu</t>
  </si>
  <si>
    <t>Agpastoral -- frac boran to total herd</t>
  </si>
  <si>
    <t>Agpastoral Boran</t>
  </si>
  <si>
    <t>Mixed -- Frac boran to total herd</t>
  </si>
  <si>
    <t>Mixed Zebu</t>
  </si>
  <si>
    <t>Mixed Boran</t>
  </si>
  <si>
    <t>2050 Projections</t>
  </si>
  <si>
    <t>Semi-int dairy</t>
  </si>
  <si>
    <t>Summation</t>
  </si>
  <si>
    <t>"Agpastoral_Boran_2050@1"+"Agpastoral_Zebu_2050@1"+"Cowcalf_Boran_2050@1"+"Cowcalf_Exotic_2050@1"+"Finisher_Boran_2050@1"+"Finisher_Exotic_2050@1"+"Mixed_Boran_2050@1"+"Mixed_Zebu_2050@1"+"Pastoral_Boran_2050@1"+"Pastoral_Zebu_2050@1"</t>
  </si>
  <si>
    <t>Biomass demand</t>
  </si>
  <si>
    <t>Roughage Demand (kg/ DM/ha/y)</t>
  </si>
  <si>
    <t>Avg_LW_Beef</t>
  </si>
  <si>
    <t>Avg_LW_Dairy</t>
  </si>
  <si>
    <t>Fed_frac</t>
  </si>
  <si>
    <t>Feed_Frac_BW</t>
  </si>
  <si>
    <t>Biomass supply (Mg/hayr)</t>
  </si>
  <si>
    <t>MODIS NPP Projections (2050)</t>
  </si>
  <si>
    <t>2050 RCP 4.5</t>
  </si>
  <si>
    <t>2050 RCP 8.5</t>
  </si>
  <si>
    <t>BIOMASS SUPPLY</t>
  </si>
  <si>
    <t>Grass biomass</t>
  </si>
  <si>
    <t>C Frac grass</t>
  </si>
  <si>
    <t>AGBR Grass</t>
  </si>
  <si>
    <t>PUF Grass</t>
  </si>
  <si>
    <t>Crop biomass</t>
  </si>
  <si>
    <t>NPP Grass frac - Grassland</t>
  </si>
  <si>
    <t>NPP Grass frac - Cropland</t>
  </si>
  <si>
    <t>Total biomass</t>
  </si>
  <si>
    <t>sum of crop and grass</t>
  </si>
  <si>
    <t>NPP Grass frac - Shrubland</t>
  </si>
  <si>
    <t>2050 projected</t>
  </si>
  <si>
    <t>C_frac_crop</t>
  </si>
  <si>
    <t>Crop_HI</t>
  </si>
  <si>
    <t>GRASS</t>
  </si>
  <si>
    <t xml:space="preserve">PUF_stover  </t>
  </si>
  <si>
    <t>R 4</t>
  </si>
  <si>
    <t>R 8</t>
  </si>
  <si>
    <t>NPP Crop frac - Cropland</t>
  </si>
  <si>
    <t>CROP</t>
  </si>
  <si>
    <t>r4</t>
  </si>
  <si>
    <t>r8</t>
  </si>
  <si>
    <t>NPP GRASS Only</t>
  </si>
  <si>
    <t>NPP CROP Only</t>
  </si>
  <si>
    <t>NPP SHRUB Only</t>
  </si>
  <si>
    <t>(30 =GRASSL, 40 = CROPL, 20= SHRUBL)</t>
  </si>
  <si>
    <t>AGBR crop</t>
  </si>
  <si>
    <t>LGA=2</t>
  </si>
  <si>
    <t xml:space="preserve">LGA 2; LGH 3; LGT 4; MRA 6; MRH 7; MRT 8 </t>
  </si>
  <si>
    <t>Duku et al. projections -- 2050s RCP 8.5</t>
  </si>
  <si>
    <t>LGT=4</t>
  </si>
  <si>
    <t>LGH=2</t>
  </si>
  <si>
    <t>MRA=6</t>
  </si>
  <si>
    <t>MRH=7</t>
  </si>
  <si>
    <t>MRT=8</t>
  </si>
  <si>
    <t>Duku et al. projections -- 2050s RCP 4.5</t>
  </si>
  <si>
    <t>2020 - Projected from 2014</t>
  </si>
  <si>
    <t>Frac period</t>
  </si>
  <si>
    <t>2050 R4</t>
  </si>
  <si>
    <t>2050 R8</t>
  </si>
  <si>
    <t>("NPP_2020@1")*("2020_LC_LR_is_grassland@1"=1)</t>
  </si>
  <si>
    <t>("NPP_2020@1")*("2020_LC_LR_is_cropland@1"=1)</t>
  </si>
  <si>
    <t>("NPP_2020@1")*("2020_LC_LR_is_shrubland@1"=1)</t>
  </si>
  <si>
    <t>("MODIS_NPP_2050_R4_new@1")*("2020_LC_LR_is_grassland@1"=1)</t>
  </si>
  <si>
    <t>("MODIS_NPP_2050_R4_new@1")*("2020_LC_LR_is_cropland@1"=1)</t>
  </si>
  <si>
    <t>("MODIS_NPP_2050_R4_new@1")*("2020_LC_LR_is_shrubland@1"=1)</t>
  </si>
  <si>
    <t>NPP_CROP_2050_R4.tif</t>
  </si>
  <si>
    <t>NPP_SHRUB_2050_R4.tif</t>
  </si>
  <si>
    <t>NPP_CROP_2050_R8.tif</t>
  </si>
  <si>
    <t>NPP_GRASS_2050_R8.tif</t>
  </si>
  <si>
    <t>NPP_SHRUB_2050_R8.tif</t>
  </si>
  <si>
    <t>("MODIS_NPP_2050_R8_new_new@1")*("2020_LC_LR_is_grassland@1"=1)</t>
  </si>
  <si>
    <t>("MODIS_NPP_2050_R8_new_new@1")*("2020_LC_LR_is_cropland@1"=1)</t>
  </si>
  <si>
    <t>("MODIS_NPP_2050_R8_new_new@1")*("2020_LC_LR_is_shrubland@1"=1)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</si>
</sst>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9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quotePrefix="1"/>
    <xf numFmtId="0" fontId="0" fillId="2" borderId="0" xfId="0" applyFill="1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0" fontId="2" fillId="0" borderId="0" xfId="0" applyFont="1"/>
    <xf numFmtId="0" fontId="3" fillId="0" borderId="0" xfId="0" quotePrefix="1" applyFont="1"/>
    <xf numFmtId="0" fontId="0" fillId="0" borderId="0" xfId="0" applyAlignment="1">
      <alignment vertical="center" wrapText="1"/>
    </xf>
    <xf numFmtId="0" fontId="3" fillId="0" borderId="0" xfId="0" quotePrefix="1" applyFont="1" applyAlignment="1">
      <alignment wrapText="1"/>
    </xf>
    <xf numFmtId="0" fontId="0" fillId="0" borderId="0" xfId="0" quotePrefix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KE-beef-main/Model/Results.summary/trend.lines.xlsx" TargetMode="External"/><Relationship Id="rId2" Type="http://schemas.openxmlformats.org/officeDocument/2006/relationships/externalLinkPath" Target="file:///C:\Users\JHawkins\Documents\Github\KE-beef-main\Model\Results.summary\trend.lines.xlsx" TargetMode="External"/><Relationship Id="rId1" Type="http://schemas.openxmlformats.org/officeDocument/2006/relationships/externalLinkPath" Target="/Users/JHawkins/Documents/Github/KE-beef-main/Model/Results.summary/trend.li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odel_implemented"/>
      <sheetName val="FAO_2019_animal_trends"/>
      <sheetName val="Raster_logic"/>
    </sheetNames>
    <sheetDataSet>
      <sheetData sheetId="0" refreshError="1"/>
      <sheetData sheetId="1">
        <row r="35">
          <cell r="F35">
            <v>0.53615960099750615</v>
          </cell>
          <cell r="G35">
            <v>0.38312009613345605</v>
          </cell>
        </row>
        <row r="36">
          <cell r="G36">
            <v>2.7950424483806726</v>
          </cell>
        </row>
        <row r="37">
          <cell r="G37">
            <v>86.466565349544069</v>
          </cell>
        </row>
        <row r="38">
          <cell r="G38">
            <v>1.0372340425531916</v>
          </cell>
        </row>
        <row r="40">
          <cell r="G40">
            <v>1.354588821344141</v>
          </cell>
        </row>
      </sheetData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F234B-56A4-4CB3-B68D-D99D514D570A}">
  <dimension ref="B2:N99"/>
  <sheetViews>
    <sheetView tabSelected="1" topLeftCell="D61" workbookViewId="0">
      <selection activeCell="F74" sqref="F74"/>
    </sheetView>
  </sheetViews>
  <sheetFormatPr defaultRowHeight="15" x14ac:dyDescent="0.25"/>
  <cols>
    <col min="4" max="4" width="28.42578125" customWidth="1"/>
    <col min="5" max="5" width="141.85546875" customWidth="1"/>
    <col min="8" max="8" width="25" customWidth="1"/>
  </cols>
  <sheetData>
    <row r="2" spans="2:8" x14ac:dyDescent="0.25">
      <c r="D2" t="s">
        <v>0</v>
      </c>
      <c r="E2" t="str">
        <f>_xlfn.CONCAT("('Beef_density_comm_adj_h_km2@1' + 'Beef_density_subs_adj_h_km2@1' )* (",H2,") * ((",H3,"))")</f>
        <v>('Beef_density_comm_adj_h_km2@1' + 'Beef_density_subs_adj_h_km2@1' )* (0.002) * ((0.68))</v>
      </c>
      <c r="G2" t="s">
        <v>1</v>
      </c>
      <c r="H2">
        <v>2E-3</v>
      </c>
    </row>
    <row r="3" spans="2:8" x14ac:dyDescent="0.25">
      <c r="D3" t="s">
        <v>2</v>
      </c>
      <c r="E3" t="str">
        <f>_xlfn.CONCAT("('Beef_density_comm_adj_h_km2@1' + 'Beef_density_subs_adj_h_km2@1' )* (",H2,")* (1-(",H3,"))")</f>
        <v>('Beef_density_comm_adj_h_km2@1' + 'Beef_density_subs_adj_h_km2@1' )* (0.002)* (1-(0.68))</v>
      </c>
      <c r="G3" t="s">
        <v>3</v>
      </c>
      <c r="H3">
        <v>0.68</v>
      </c>
    </row>
    <row r="4" spans="2:8" x14ac:dyDescent="0.25">
      <c r="D4" t="s">
        <v>4</v>
      </c>
      <c r="E4" t="str">
        <f>_xlfn.CONCAT("(('Beef_density_comm_adj_h_km2@1' ) - 'Finisher_Boran@1' - 'Finisher_Exotic@1' ) * (",H3,")")</f>
        <v>(('Beef_density_comm_adj_h_km2@1' ) - 'Finisher_Boran@1' - 'Finisher_Exotic@1' ) * (0.68)</v>
      </c>
    </row>
    <row r="5" spans="2:8" x14ac:dyDescent="0.25">
      <c r="B5" s="1" t="s">
        <v>5</v>
      </c>
      <c r="D5" t="s">
        <v>6</v>
      </c>
      <c r="E5" t="str">
        <f>_xlfn.CONCAT("(('Beef_density_comm_adj_h_km2@1') - 'Finisher_Boran@1' - 'Finisher_Exotic@1') * (1-",H3,")")</f>
        <v>(('Beef_density_comm_adj_h_km2@1') - 'Finisher_Boran@1' - 'Finisher_Exotic@1') * (1-0.68)</v>
      </c>
      <c r="G5" t="s">
        <v>7</v>
      </c>
      <c r="H5" s="2">
        <f>0.7391304+0.085-I5</f>
        <v>0.82413039999999993</v>
      </c>
    </row>
    <row r="6" spans="2:8" x14ac:dyDescent="0.25">
      <c r="G6" t="s">
        <v>8</v>
      </c>
      <c r="H6" s="2">
        <f>0.5348+0.15-I6</f>
        <v>0.68480000000000008</v>
      </c>
    </row>
    <row r="7" spans="2:8" x14ac:dyDescent="0.25">
      <c r="D7" t="s">
        <v>9</v>
      </c>
      <c r="E7" t="str">
        <f>_xlfn.CONCAT("('Beef_density_subs_adj_h_km2@1')*(('Hybrid_AEZs@1'=1)*((",H5,"))*(1-(",H9,"))+('Hybrid_AEZs@1'=2)*((",H6,"))*(1-(",H9,")))")</f>
        <v>('Beef_density_subs_adj_h_km2@1')*(('Hybrid_AEZs@1'=1)*((0.8241304))*(1-(0.1244))+('Hybrid_AEZs@1'=2)*((0.6848))*(1-(0.1244)))</v>
      </c>
      <c r="G7" t="s">
        <v>10</v>
      </c>
      <c r="H7">
        <f>0.0567</f>
        <v>5.67E-2</v>
      </c>
    </row>
    <row r="8" spans="2:8" x14ac:dyDescent="0.25">
      <c r="D8" t="s">
        <v>11</v>
      </c>
      <c r="E8" t="str">
        <f>_xlfn.CONCAT("('Beef_density_subs_adj_h_km2@1')*(('Hybrid_AEZs@1'=1)*((",H5,"))*((",H9,"))+('Hybrid_AEZs@1'=2)*((",H6,"))*((",H9,")))")</f>
        <v>('Beef_density_subs_adj_h_km2@1')*(('Hybrid_AEZs@1'=1)*((0.8241304))*((0.1244))+('Hybrid_AEZs@1'=2)*((0.6848))*((0.1244)))</v>
      </c>
    </row>
    <row r="9" spans="2:8" x14ac:dyDescent="0.25">
      <c r="G9" t="s">
        <v>12</v>
      </c>
      <c r="H9">
        <f>(0.1244)</f>
        <v>0.1244</v>
      </c>
    </row>
    <row r="10" spans="2:8" x14ac:dyDescent="0.25">
      <c r="D10" t="s">
        <v>13</v>
      </c>
      <c r="E10" t="str">
        <f>_xlfn.CONCAT("('Beef_density_subs_adj_h_km2@1')*(('Hybrid_AEZs@1'=2)*(1-(",H6,"))*(1-(",H10,"))+('Hybrid_AEZs@1'=3 OR 'Hybrid_AEZs@1'=4 OR 'Hybrid_AEZs@1'=5)*(1-(",H6,"))*(1-(",H10,")))")</f>
        <v>('Beef_density_subs_adj_h_km2@1')*(('Hybrid_AEZs@1'=2)*(1-(0.6848))*(1-(0.07))+('Hybrid_AEZs@1'=3 OR 'Hybrid_AEZs@1'=4 OR 'Hybrid_AEZs@1'=5)*(1-(0.6848))*(1-(0.07)))</v>
      </c>
      <c r="G10" t="s">
        <v>14</v>
      </c>
      <c r="H10">
        <f>(0.07)</f>
        <v>7.0000000000000007E-2</v>
      </c>
    </row>
    <row r="11" spans="2:8" x14ac:dyDescent="0.25">
      <c r="D11" t="s">
        <v>15</v>
      </c>
      <c r="E11" t="str">
        <f>_xlfn.CONCAT("('Beef_density_subs_adj_h_km2@1')*(('Hybrid_AEZs@1'=2)*(1-(",H6,"))*((",H10,"))+('Hybrid_AEZs@1'=3 OR 'Hybrid_AEZs@1'=4 OR 'Hybrid_AEZs@1'=5)*(1-(",H6,"))*((",H10,")))")</f>
        <v>('Beef_density_subs_adj_h_km2@1')*(('Hybrid_AEZs@1'=2)*(1-(0.6848))*((0.07))+('Hybrid_AEZs@1'=3 OR 'Hybrid_AEZs@1'=4 OR 'Hybrid_AEZs@1'=5)*(1-(0.6848))*((0.07)))</v>
      </c>
      <c r="G11" t="s">
        <v>16</v>
      </c>
      <c r="H11">
        <f>(0.08)</f>
        <v>0.08</v>
      </c>
    </row>
    <row r="13" spans="2:8" x14ac:dyDescent="0.25">
      <c r="D13" t="s">
        <v>17</v>
      </c>
      <c r="E13" t="str">
        <f>_xlfn.CONCAT("('Beef_density_subs_adj_h_km2@1')*('Hybrid_AEZs@1'=3 OR 'Hybrid_AEZs@1'=4 OR 'Hybrid_AEZs@1'=5)*((",H7,"))*(1-(",H11,"))")</f>
        <v>('Beef_density_subs_adj_h_km2@1')*('Hybrid_AEZs@1'=3 OR 'Hybrid_AEZs@1'=4 OR 'Hybrid_AEZs@1'=5)*((0.0567))*(1-(0.08))</v>
      </c>
    </row>
    <row r="14" spans="2:8" x14ac:dyDescent="0.25">
      <c r="D14" t="s">
        <v>18</v>
      </c>
      <c r="E14" t="str">
        <f>_xlfn.CONCAT("('Beef_density_subs_adj_h_km2@1')*('Hybrid_AEZs@1'=3 OR 'Hybrid_AEZs@1'=4 OR 'Hybrid_AEZs@1'=5)*((",H7,"))*((",H11,"))")</f>
        <v>('Beef_density_subs_adj_h_km2@1')*('Hybrid_AEZs@1'=3 OR 'Hybrid_AEZs@1'=4 OR 'Hybrid_AEZs@1'=5)*((0.0567))*((0.08))</v>
      </c>
    </row>
    <row r="17" spans="4:7" x14ac:dyDescent="0.25">
      <c r="D17" s="3" t="s">
        <v>19</v>
      </c>
    </row>
    <row r="19" spans="4:7" x14ac:dyDescent="0.25">
      <c r="D19" t="s">
        <v>0</v>
      </c>
      <c r="E19" t="str">
        <f>_xlfn.CONCAT("'Finisher_Boran@1'+(30/100)*'Finisher_Boran@1'*(",G19,")")</f>
        <v>'Finisher_Boran@1'+(30/100)*'Finisher_Boran@1'*(86.4665653495441)</v>
      </c>
      <c r="G19">
        <f>[1]FAO_2019_animal_trends!G37</f>
        <v>86.466565349544069</v>
      </c>
    </row>
    <row r="20" spans="4:7" x14ac:dyDescent="0.25">
      <c r="D20" t="s">
        <v>2</v>
      </c>
      <c r="E20" t="str">
        <f>_xlfn.CONCAT("'Finisher_Exotic@1'+(30/100)*'Finisher_Exotic@1'*(",G19,")")</f>
        <v>'Finisher_Exotic@1'+(30/100)*'Finisher_Exotic@1'*(86.4665653495441)</v>
      </c>
    </row>
    <row r="21" spans="4:7" x14ac:dyDescent="0.25">
      <c r="D21" t="s">
        <v>4</v>
      </c>
      <c r="E21" t="str">
        <f>_xlfn.CONCAT("'Cowcalf_Boran@1'+(30/100)*'Cowcalf_Boran@1'*(",G21,")")</f>
        <v>'Cowcalf_Boran@1'+(30/100)*'Cowcalf_Boran@1'*(1.03723404255319)</v>
      </c>
      <c r="G21">
        <f>[1]FAO_2019_animal_trends!G38</f>
        <v>1.0372340425531916</v>
      </c>
    </row>
    <row r="22" spans="4:7" x14ac:dyDescent="0.25">
      <c r="D22" t="s">
        <v>6</v>
      </c>
      <c r="E22" t="str">
        <f>_xlfn.CONCAT("'Cowcalf_Exotic@1'+(30/100)*'Cowcalf_Exotic@1'*(",G21,")")</f>
        <v>'Cowcalf_Exotic@1'+(30/100)*'Cowcalf_Exotic@1'*(1.03723404255319)</v>
      </c>
    </row>
    <row r="24" spans="4:7" x14ac:dyDescent="0.25">
      <c r="D24" t="s">
        <v>9</v>
      </c>
      <c r="E24" t="str">
        <f>_xlfn.CONCAT("'Pastoral_Zebu@1'+(30/100)*'Pastoral_Zebu@1'*(",G24,")")</f>
        <v>'Pastoral_Zebu@1'+(30/100)*'Pastoral_Zebu@1'*(0.383120096133456)</v>
      </c>
      <c r="G24">
        <f>[1]FAO_2019_animal_trends!G35</f>
        <v>0.38312009613345605</v>
      </c>
    </row>
    <row r="25" spans="4:7" x14ac:dyDescent="0.25">
      <c r="D25" t="s">
        <v>11</v>
      </c>
      <c r="E25" t="str">
        <f>_xlfn.CONCAT("'Pastoral_Boran@1'+(30/100)*'Pastoral_Boran@1'*(",G24,")")</f>
        <v>'Pastoral_Boran@1'+(30/100)*'Pastoral_Boran@1'*(0.383120096133456)</v>
      </c>
    </row>
    <row r="27" spans="4:7" x14ac:dyDescent="0.25">
      <c r="D27" t="s">
        <v>13</v>
      </c>
      <c r="E27" t="str">
        <f>_xlfn.CONCAT("'Agpastoral_Zebu@1'+(30/100)*'Agpastoral_Zebu@1'*(",G27,")")</f>
        <v>'Agpastoral_Zebu@1'+(30/100)*'Agpastoral_Zebu@1'*(2.79504244838067)</v>
      </c>
      <c r="G27">
        <f>[1]FAO_2019_animal_trends!G36</f>
        <v>2.7950424483806726</v>
      </c>
    </row>
    <row r="28" spans="4:7" x14ac:dyDescent="0.25">
      <c r="D28" t="s">
        <v>15</v>
      </c>
      <c r="E28" t="str">
        <f>_xlfn.CONCAT("'Agpastoral_Boran@1'+(30/100)*'Agpastoral_Boran@1'*(",G27,")")</f>
        <v>'Agpastoral_Boran@1'+(30/100)*'Agpastoral_Boran@1'*(2.79504244838067)</v>
      </c>
    </row>
    <row r="30" spans="4:7" x14ac:dyDescent="0.25">
      <c r="D30" t="s">
        <v>17</v>
      </c>
      <c r="E30" t="str">
        <f>_xlfn.CONCAT("'Mixed_Zebu@1'+(30/100)*'Mixed_Zebu@1'*(",G30,")")</f>
        <v>'Mixed_Zebu@1'+(30/100)*'Mixed_Zebu@1'*(1.35458882134414)</v>
      </c>
      <c r="G30">
        <f>[1]FAO_2019_animal_trends!G40</f>
        <v>1.354588821344141</v>
      </c>
    </row>
    <row r="31" spans="4:7" x14ac:dyDescent="0.25">
      <c r="D31" t="s">
        <v>18</v>
      </c>
      <c r="E31" t="str">
        <f>_xlfn.CONCAT("'Mixed_Boran@1'+(30/100)*'Mixed_Boran@1'*(",G30,")")</f>
        <v>'Mixed_Boran@1'+(30/100)*'Mixed_Boran@1'*(1.35458882134414)</v>
      </c>
    </row>
    <row r="33" spans="4:9" x14ac:dyDescent="0.25">
      <c r="D33" t="s">
        <v>20</v>
      </c>
      <c r="E33" t="str">
        <f>_xlfn.CONCAT("'Dairy_density_total_adj_h_km2@1'+(30/100)*'Dairy_density_total_adj_h_km2@1'*(",G33,")")</f>
        <v>'Dairy_density_total_adj_h_km2@1'+(30/100)*'Dairy_density_total_adj_h_km2@1'*(1.35458882134414)</v>
      </c>
      <c r="G33">
        <f>[1]FAO_2019_animal_trends!G40</f>
        <v>1.354588821344141</v>
      </c>
    </row>
    <row r="35" spans="4:9" x14ac:dyDescent="0.25">
      <c r="D35" t="s">
        <v>21</v>
      </c>
      <c r="E35" s="1" t="s">
        <v>22</v>
      </c>
    </row>
    <row r="39" spans="4:9" x14ac:dyDescent="0.25">
      <c r="D39" t="s">
        <v>23</v>
      </c>
    </row>
    <row r="40" spans="4:9" x14ac:dyDescent="0.25">
      <c r="D40">
        <v>2020</v>
      </c>
    </row>
    <row r="41" spans="4:9" x14ac:dyDescent="0.25">
      <c r="D41" t="s">
        <v>24</v>
      </c>
      <c r="E41" t="str">
        <f>_xlfn.CONCAT("365*(1/100)*('Beef_density_total_adj_h_km2@1'*(",I41,")+'Dairy_density_total_adj_h_km2@1'*(",I42,"))*(1-(",I43,"))*(",I44,")")</f>
        <v>365*(1/100)*('Beef_density_total_adj_h_km2@1'*(167)+'Dairy_density_total_adj_h_km2@1'*(200))*(1-(0.02))*(0.025)</v>
      </c>
      <c r="H41" t="s">
        <v>25</v>
      </c>
      <c r="I41">
        <v>167</v>
      </c>
    </row>
    <row r="42" spans="4:9" x14ac:dyDescent="0.25">
      <c r="H42" t="s">
        <v>26</v>
      </c>
      <c r="I42">
        <v>200</v>
      </c>
    </row>
    <row r="43" spans="4:9" x14ac:dyDescent="0.25">
      <c r="H43" t="s">
        <v>27</v>
      </c>
      <c r="I43">
        <v>0.02</v>
      </c>
    </row>
    <row r="44" spans="4:9" x14ac:dyDescent="0.25">
      <c r="H44" t="s">
        <v>28</v>
      </c>
      <c r="I44">
        <v>2.5000000000000001E-2</v>
      </c>
    </row>
    <row r="45" spans="4:9" x14ac:dyDescent="0.25">
      <c r="D45">
        <v>2050</v>
      </c>
    </row>
    <row r="46" spans="4:9" x14ac:dyDescent="0.25">
      <c r="D46" t="s">
        <v>24</v>
      </c>
      <c r="E46" t="str">
        <f>_xlfn.CONCAT("365*(1/100)*('Beef_density_total_2050_adj_h_km2@1'*(",I41,")+'Dairy_total_2050@1'*(",I42,"))*(1-(",I43,"))*(",I44,")")</f>
        <v>365*(1/100)*('Beef_density_total_2050_adj_h_km2@1'*(167)+'Dairy_total_2050@1'*(200))*(1-(0.02))*(0.025)</v>
      </c>
    </row>
    <row r="51" spans="4:14" x14ac:dyDescent="0.25">
      <c r="D51" s="3" t="s">
        <v>29</v>
      </c>
    </row>
    <row r="52" spans="4:14" x14ac:dyDescent="0.25">
      <c r="D52" s="3" t="s">
        <v>30</v>
      </c>
    </row>
    <row r="53" spans="4:14" x14ac:dyDescent="0.25">
      <c r="E53" t="s">
        <v>61</v>
      </c>
      <c r="I53" t="s">
        <v>60</v>
      </c>
      <c r="J53" t="s">
        <v>64</v>
      </c>
      <c r="K53" t="s">
        <v>63</v>
      </c>
      <c r="L53" t="s">
        <v>65</v>
      </c>
      <c r="M53" t="s">
        <v>66</v>
      </c>
      <c r="N53" t="s">
        <v>67</v>
      </c>
    </row>
    <row r="54" spans="4:14" ht="75" x14ac:dyDescent="0.25">
      <c r="D54" t="s">
        <v>69</v>
      </c>
      <c r="E54" s="4" t="str">
        <f>_xlfn.CONCAT("('MODIS_NPP_RAST_2014_LR@1')*('clipped_LPS@1'=2)*((",I54,")*(",G54,")+1)+('MODIS_NPP_RAST_2014_LR@1')*('clipped_LPS@1'=3)*((",J54,")*(",G54,")+1)+('MODIS_NPP_RAST_2014_LR@1')*('clipped_LPS@1'=4)*((",K54,")*(",G54,")+1)+('MODIS_NPP_RAST_2014_LR@1')*('clipped_LPS@1'=6)*((",L54,")*(",G54,")+1)+('MODIS_NPP_RAST_2014_LR@1')*('clipped_LPS@1'=7)*((",M54,")*(",G54,")+1)+('MODIS_NPP_RAST_2014_LR@1')*('clipped_LPS@1'=8)*((",N54,")*(",G54,")+1)
")</f>
        <v xml:space="preserve">('MODIS_NPP_RAST_2014_LR@1')*('clipped_LPS@1'=2)*((0.104166666666667)*(0.16667)+1)+('MODIS_NPP_RAST_2014_LR@1')*('clipped_LPS@1'=3)*((0)*(0.16667)+1)+('MODIS_NPP_RAST_2014_LR@1')*('clipped_LPS@1'=4)*((-0.0952380952380953)*(0.16667)+1)+('MODIS_NPP_RAST_2014_LR@1')*('clipped_LPS@1'=6)*((0.0212765957446808)*(0.16667)+1)+('MODIS_NPP_RAST_2014_LR@1')*('clipped_LPS@1'=7)*((-0.0599999999999999)*(0.16667)+1)+('MODIS_NPP_RAST_2014_LR@1')*('clipped_LPS@1'=8)*((-0.126315789473684)*(0.16667)+1)
</v>
      </c>
      <c r="F54" t="s">
        <v>70</v>
      </c>
      <c r="G54">
        <v>0.16667000000000001</v>
      </c>
      <c r="I54">
        <f>I55-1</f>
        <v>0.10416666666666674</v>
      </c>
      <c r="J54">
        <f t="shared" ref="J54:N54" si="0">J55-1</f>
        <v>0</v>
      </c>
      <c r="K54">
        <f t="shared" si="0"/>
        <v>-9.5238095238095344E-2</v>
      </c>
      <c r="L54">
        <f t="shared" si="0"/>
        <v>2.1276595744680771E-2</v>
      </c>
      <c r="M54">
        <f t="shared" si="0"/>
        <v>-5.9999999999999942E-2</v>
      </c>
      <c r="N54">
        <f t="shared" si="0"/>
        <v>-0.12631578947368416</v>
      </c>
    </row>
    <row r="55" spans="4:14" ht="126" customHeight="1" x14ac:dyDescent="0.25">
      <c r="D55" s="3" t="s">
        <v>31</v>
      </c>
      <c r="E55" s="4" t="str">
        <f>_xlfn.CONCAT("('MODIS_NPP_RAST_2014_LR@1')*('clipped_LPS@1'=2)*(",I55,") +('MODIS_NPP_RAST_2014_LR@1')*('clipped_LPS@1'=3)*(",J55,")+('MODIS_NPP_RAST_2014_LR@1')*('clipped_LPS@1'=4)*(",K55,")+('MODIS_NPP_RAST_2014_LR@1')*('clipped_LPS@1'=6)*(",L55,")+('MODIS_NPP_RAST_2014_LR@1')*('clipped_LPS@1'=7)*(",M55,")+('MODIS_NPP_RAST_2014_LR@1')*('clipped_LPS@1'=8)*(",N55,") 
")</f>
        <v xml:space="preserve">('MODIS_NPP_RAST_2014_LR@1')*('clipped_LPS@1'=2)*(1.10416666666667) +('MODIS_NPP_RAST_2014_LR@1')*('clipped_LPS@1'=3)*(1)+('MODIS_NPP_RAST_2014_LR@1')*('clipped_LPS@1'=4)*(0.904761904761905)+('MODIS_NPP_RAST_2014_LR@1')*('clipped_LPS@1'=6)*(1.02127659574468)+('MODIS_NPP_RAST_2014_LR@1')*('clipped_LPS@1'=7)*(0.94)+('MODIS_NPP_RAST_2014_LR@1')*('clipped_LPS@1'=8)*(0.873684210526316) 
</v>
      </c>
      <c r="H55" t="s">
        <v>68</v>
      </c>
      <c r="I55">
        <f>26.5/24</f>
        <v>1.1041666666666667</v>
      </c>
      <c r="J55">
        <v>1</v>
      </c>
      <c r="K55">
        <f>3.8/4.2</f>
        <v>0.90476190476190466</v>
      </c>
      <c r="L55">
        <f>4.8/4.7</f>
        <v>1.0212765957446808</v>
      </c>
      <c r="M55">
        <f>2.35/2.5</f>
        <v>0.94000000000000006</v>
      </c>
      <c r="N55">
        <f>8.3/9.5</f>
        <v>0.87368421052631584</v>
      </c>
    </row>
    <row r="56" spans="4:14" ht="60" x14ac:dyDescent="0.25">
      <c r="D56" s="3" t="s">
        <v>32</v>
      </c>
      <c r="E56" s="4" t="str">
        <f>_xlfn.CONCAT("('MODIS_NPP_RAST_2014_LR@1')*('clipped_LPS@1'=2)*(",I56,")+('MODIS_NPP_RAST_2014_LR@1')*('clipped_LPS@1'=3)*(",J56,")+('MODIS_NPP_RAST_2014_LR@1')*('clipped_LPS@1'=4)*(",K56,")+('MODIS_NPP_RAST_2014_LR@1')*('clipped_LPS@1'=7)*(",L56,")+('MODIS_NPP_RAST_2014_LR@1')*('clipped_LPS@1'=7)*(",M56,")+('MODIS_NPP_RAST_2014_LR@1')*('clipped_LPS@1'=8)*(",N56,") ) 
")</f>
        <v xml:space="preserve">('MODIS_NPP_RAST_2014_LR@1')*('clipped_LPS@1'=2)*(1.175)+('MODIS_NPP_RAST_2014_LR@1')*('clipped_LPS@1'=3)*(1)+('MODIS_NPP_RAST_2014_LR@1')*('clipped_LPS@1'=4)*(0.892857142857143)+('MODIS_NPP_RAST_2014_LR@1')*('clipped_LPS@1'=7)*(1.01063829787234)+('MODIS_NPP_RAST_2014_LR@1')*('clipped_LPS@1'=7)*(0.86)+('MODIS_NPP_RAST_2014_LR@1')*('clipped_LPS@1'=8)*(0.863157894736842) ) 
</v>
      </c>
      <c r="H56" t="s">
        <v>62</v>
      </c>
      <c r="I56">
        <f>28.2/24</f>
        <v>1.175</v>
      </c>
      <c r="J56">
        <v>1</v>
      </c>
      <c r="K56">
        <f>3.75/4.2</f>
        <v>0.89285714285714279</v>
      </c>
      <c r="L56">
        <f>4.75/4.7</f>
        <v>1.0106382978723405</v>
      </c>
      <c r="M56">
        <f>2.15/2.5</f>
        <v>0.86</v>
      </c>
      <c r="N56">
        <f>8.2/9.5</f>
        <v>0.86315789473684201</v>
      </c>
    </row>
    <row r="57" spans="4:14" ht="84" customHeight="1" x14ac:dyDescent="0.25">
      <c r="D57" s="3"/>
      <c r="E57" s="4"/>
    </row>
    <row r="61" spans="4:14" x14ac:dyDescent="0.25">
      <c r="D61" s="3" t="s">
        <v>33</v>
      </c>
    </row>
    <row r="62" spans="4:14" x14ac:dyDescent="0.25">
      <c r="D62" s="3"/>
      <c r="E62" t="s">
        <v>58</v>
      </c>
    </row>
    <row r="63" spans="4:14" x14ac:dyDescent="0.25">
      <c r="D63" s="3">
        <v>2020</v>
      </c>
    </row>
    <row r="64" spans="4:14" x14ac:dyDescent="0.25">
      <c r="D64" s="3" t="s">
        <v>55</v>
      </c>
      <c r="E64" s="7" t="s">
        <v>73</v>
      </c>
    </row>
    <row r="65" spans="4:9" x14ac:dyDescent="0.25">
      <c r="D65" s="3" t="s">
        <v>56</v>
      </c>
      <c r="E65" s="7" t="s">
        <v>74</v>
      </c>
    </row>
    <row r="66" spans="4:9" x14ac:dyDescent="0.25">
      <c r="D66" s="3" t="s">
        <v>57</v>
      </c>
      <c r="E66" s="7" t="s">
        <v>75</v>
      </c>
    </row>
    <row r="67" spans="4:9" x14ac:dyDescent="0.25">
      <c r="D67" s="3"/>
    </row>
    <row r="68" spans="4:9" x14ac:dyDescent="0.25">
      <c r="D68" s="3" t="s">
        <v>71</v>
      </c>
    </row>
    <row r="69" spans="4:9" x14ac:dyDescent="0.25">
      <c r="D69" s="3" t="s">
        <v>55</v>
      </c>
      <c r="E69" s="7" t="s">
        <v>76</v>
      </c>
    </row>
    <row r="70" spans="4:9" x14ac:dyDescent="0.25">
      <c r="D70" s="3" t="s">
        <v>56</v>
      </c>
      <c r="E70" s="8" t="s">
        <v>77</v>
      </c>
      <c r="F70" t="s">
        <v>79</v>
      </c>
    </row>
    <row r="71" spans="4:9" x14ac:dyDescent="0.25">
      <c r="D71" s="3" t="s">
        <v>57</v>
      </c>
      <c r="E71" s="8" t="s">
        <v>78</v>
      </c>
      <c r="F71" t="s">
        <v>80</v>
      </c>
    </row>
    <row r="72" spans="4:9" x14ac:dyDescent="0.25">
      <c r="D72" s="3"/>
    </row>
    <row r="73" spans="4:9" x14ac:dyDescent="0.25">
      <c r="D73" s="3" t="s">
        <v>72</v>
      </c>
    </row>
    <row r="74" spans="4:9" x14ac:dyDescent="0.25">
      <c r="D74" s="3" t="s">
        <v>55</v>
      </c>
      <c r="E74" s="9" t="s">
        <v>84</v>
      </c>
      <c r="F74" t="s">
        <v>82</v>
      </c>
    </row>
    <row r="75" spans="4:9" x14ac:dyDescent="0.25">
      <c r="D75" s="3" t="s">
        <v>56</v>
      </c>
      <c r="E75" s="10" t="s">
        <v>85</v>
      </c>
      <c r="F75" t="s">
        <v>81</v>
      </c>
    </row>
    <row r="76" spans="4:9" x14ac:dyDescent="0.25">
      <c r="D76" s="3" t="s">
        <v>57</v>
      </c>
      <c r="E76" s="10" t="s">
        <v>86</v>
      </c>
      <c r="F76" t="s">
        <v>83</v>
      </c>
    </row>
    <row r="77" spans="4:9" x14ac:dyDescent="0.25">
      <c r="D77" s="3"/>
    </row>
    <row r="79" spans="4:9" x14ac:dyDescent="0.25">
      <c r="D79" s="3" t="s">
        <v>34</v>
      </c>
      <c r="E79" t="str">
        <f>_xlfn.CONCAT("'MODIS_2020_ALL_final@1'*(((2020_LC_is_grassland@1=1)*(",I83,"))+((2020_LC_is_cropland@1=1)(",I84,"))+((2020_LC_is_shrubland@1=1)*(",I85,")))*(",I79,")*(",I80,")*(",I81,")")</f>
        <v>'MODIS_2020_ALL_final@1'*(((2020_LC_is_grassland@1=1)*(1))+((2020_LC_is_cropland@1=1)(0.34))+((2020_LC_is_shrubland@1=1)*(0.4)))*(0.5)*(0.44)*(0.3)</v>
      </c>
      <c r="H79" t="s">
        <v>35</v>
      </c>
      <c r="I79">
        <v>0.5</v>
      </c>
    </row>
    <row r="80" spans="4:9" x14ac:dyDescent="0.25">
      <c r="D80" s="3"/>
      <c r="H80" t="s">
        <v>36</v>
      </c>
      <c r="I80">
        <v>0.44</v>
      </c>
    </row>
    <row r="81" spans="4:9" x14ac:dyDescent="0.25">
      <c r="D81" s="3"/>
      <c r="H81" t="s">
        <v>37</v>
      </c>
      <c r="I81">
        <v>0.3</v>
      </c>
    </row>
    <row r="82" spans="4:9" x14ac:dyDescent="0.25">
      <c r="D82" s="3" t="s">
        <v>38</v>
      </c>
      <c r="E82" t="str">
        <f>_xlfn.CONCAT("'MODIS_2020_ALL_final@1'*(((2020_LC_is_cropland@1=1)*(",I91,")))*(",I87,")*(",I88,")*(",I89,")")</f>
        <v>'MODIS_2020_ALL_final@1'*(((2020_LC_is_cropland@1=1)*(0.4)))*(0.4)*(0.5)*(0.5)</v>
      </c>
    </row>
    <row r="83" spans="4:9" x14ac:dyDescent="0.25">
      <c r="D83" s="3"/>
      <c r="H83" t="s">
        <v>39</v>
      </c>
      <c r="I83" s="5">
        <v>1</v>
      </c>
    </row>
    <row r="84" spans="4:9" x14ac:dyDescent="0.25">
      <c r="D84" s="3"/>
      <c r="H84" t="s">
        <v>40</v>
      </c>
      <c r="I84" s="5">
        <v>0.34</v>
      </c>
    </row>
    <row r="85" spans="4:9" x14ac:dyDescent="0.25">
      <c r="D85" s="3" t="s">
        <v>41</v>
      </c>
      <c r="E85" t="s">
        <v>42</v>
      </c>
      <c r="H85" t="s">
        <v>43</v>
      </c>
      <c r="I85" s="5">
        <v>0.4</v>
      </c>
    </row>
    <row r="86" spans="4:9" x14ac:dyDescent="0.25">
      <c r="H86" t="s">
        <v>59</v>
      </c>
      <c r="I86" s="5">
        <v>0.85</v>
      </c>
    </row>
    <row r="87" spans="4:9" x14ac:dyDescent="0.25">
      <c r="D87" s="3" t="s">
        <v>44</v>
      </c>
      <c r="H87" s="6" t="s">
        <v>45</v>
      </c>
      <c r="I87" s="5">
        <v>0.4</v>
      </c>
    </row>
    <row r="88" spans="4:9" x14ac:dyDescent="0.25">
      <c r="H88" s="6" t="s">
        <v>46</v>
      </c>
      <c r="I88" s="5">
        <v>0.5</v>
      </c>
    </row>
    <row r="89" spans="4:9" x14ac:dyDescent="0.25">
      <c r="D89" t="s">
        <v>47</v>
      </c>
      <c r="H89" s="6" t="s">
        <v>48</v>
      </c>
      <c r="I89" s="5">
        <v>0.5</v>
      </c>
    </row>
    <row r="90" spans="4:9" x14ac:dyDescent="0.25">
      <c r="D90" t="s">
        <v>49</v>
      </c>
      <c r="E90" t="str">
        <f>_xlfn.CONCAT("'MODIS_NPP_2050_R4@1'*(((2020_LC_is_grassland@1=1)*(",I83,"))+((2020_LC_is_cropland@1=1)(",I84,"))+((2020_LC_is_shrubland@1=1)*(",I85,")))*(",I79,")*(",I80,")*(",I81,")")</f>
        <v>'MODIS_NPP_2050_R4@1'*(((2020_LC_is_grassland@1=1)*(1))+((2020_LC_is_cropland@1=1)(0.34))+((2020_LC_is_shrubland@1=1)*(0.4)))*(0.5)*(0.44)*(0.3)</v>
      </c>
    </row>
    <row r="91" spans="4:9" x14ac:dyDescent="0.25">
      <c r="D91" t="s">
        <v>50</v>
      </c>
      <c r="E91" t="str">
        <f>_xlfn.CONCAT("'MODIS_NPP_2050_R8@1'*(((2020_LC_is_grassland)*(",I83,"))+((E75@1=1)(",I84,"))+((2020_LC_is_shrubland@1=1)*(",I85,")))*(",I79,")*(",I80,")*(",I81,")")</f>
        <v>'MODIS_NPP_2050_R8@1'*(((2020_LC_is_grassland)*(1))+((E75@1=1)(0.34))+((2020_LC_is_shrubland@1=1)*(0.4)))*(0.5)*(0.44)*(0.3)</v>
      </c>
      <c r="H91" t="s">
        <v>51</v>
      </c>
      <c r="I91" s="5">
        <v>0.4</v>
      </c>
    </row>
    <row r="93" spans="4:9" x14ac:dyDescent="0.25">
      <c r="D93" t="s">
        <v>52</v>
      </c>
      <c r="I93" s="5"/>
    </row>
    <row r="94" spans="4:9" x14ac:dyDescent="0.25">
      <c r="D94" t="s">
        <v>49</v>
      </c>
      <c r="E94" t="str">
        <f>_xlfn.CONCAT("'MODIS_NPP_2050_R4@1'*(((2020_LC_is_cropland@1=1)*(",I91,")))*(",I87,")*(",I88,")*(",I89,")")</f>
        <v>'MODIS_NPP_2050_R4@1'*(((2020_LC_is_cropland@1=1)*(0.4)))*(0.4)*(0.5)*(0.5)</v>
      </c>
    </row>
    <row r="95" spans="4:9" x14ac:dyDescent="0.25">
      <c r="D95" t="s">
        <v>50</v>
      </c>
      <c r="E95" t="str">
        <f>_xlfn.CONCAT("'MODIS_NPP_2050_R8@1'*(((2020_LC_is_cropland@1=1)*(",I91,")))*(",I87,")*(",I88,")*(",I89,")")</f>
        <v>'MODIS_NPP_2050_R8@1'*(((2020_LC_is_cropland@1=1)*(0.4)))*(0.4)*(0.5)*(0.5)</v>
      </c>
    </row>
    <row r="97" spans="4:5" x14ac:dyDescent="0.25">
      <c r="D97" s="3" t="s">
        <v>41</v>
      </c>
      <c r="E97" t="s">
        <v>42</v>
      </c>
    </row>
    <row r="98" spans="4:5" x14ac:dyDescent="0.25">
      <c r="D98" t="s">
        <v>53</v>
      </c>
    </row>
    <row r="99" spans="4:5" x14ac:dyDescent="0.25">
      <c r="D99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Raster_logic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Hawkins, James (ILRI)</dc:creator>
  <cp:lastModifiedBy>Hawkins, James (ILRI)</cp:lastModifiedBy>
  <dcterms:created xsi:type="dcterms:W3CDTF">2026-06-17T03:17:30Z</dcterms:created>
  <dcterms:modified xsi:type="dcterms:W3CDTF">2026-06-20T10:28:39Z</dcterms:modified>
</cp:coreProperties>
</file>