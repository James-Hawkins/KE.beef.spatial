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KE.beef.spatial\"/>
    </mc:Choice>
  </mc:AlternateContent>
  <xr:revisionPtr revIDLastSave="0" documentId="13_ncr:1_{E22144BC-EAD6-4C39-830C-AE5F31B9DCB2}" xr6:coauthVersionLast="47" xr6:coauthVersionMax="47" xr10:uidLastSave="{00000000-0000-0000-0000-000000000000}"/>
  <bookViews>
    <workbookView xWindow="-120" yWindow="-120" windowWidth="21840" windowHeight="13020" xr2:uid="{E8C4D828-59A7-4D6B-8FA1-BE0758A76F31}"/>
  </bookViews>
  <sheets>
    <sheet name="Raster_logic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1" l="1"/>
  <c r="E21" i="1"/>
  <c r="E20" i="1"/>
  <c r="H10" i="1"/>
  <c r="H11" i="1"/>
  <c r="H9" i="1"/>
  <c r="H6" i="1"/>
  <c r="H7" i="1"/>
  <c r="H5" i="1"/>
  <c r="H3" i="1"/>
  <c r="H2" i="1"/>
  <c r="E7" i="1" l="1"/>
  <c r="I91" i="1"/>
  <c r="I92" i="1"/>
  <c r="K66" i="1"/>
  <c r="K65" i="1"/>
  <c r="N66" i="1"/>
  <c r="N65" i="1"/>
  <c r="N64" i="1" s="1"/>
  <c r="J64" i="1"/>
  <c r="I66" i="1"/>
  <c r="M65" i="1"/>
  <c r="M64" i="1" s="1"/>
  <c r="M66" i="1"/>
  <c r="L66" i="1"/>
  <c r="L65" i="1"/>
  <c r="L64" i="1" s="1"/>
  <c r="I65" i="1"/>
  <c r="I64" i="1" s="1"/>
  <c r="E106" i="1"/>
  <c r="E105" i="1"/>
  <c r="E93" i="1"/>
  <c r="E56" i="1"/>
  <c r="E51" i="1"/>
  <c r="G43" i="1"/>
  <c r="E43" i="1" s="1"/>
  <c r="G40" i="1"/>
  <c r="E41" i="1" s="1"/>
  <c r="G37" i="1"/>
  <c r="E38" i="1" s="1"/>
  <c r="G34" i="1"/>
  <c r="E35" i="1" s="1"/>
  <c r="G31" i="1"/>
  <c r="E32" i="1" s="1"/>
  <c r="G29" i="1"/>
  <c r="E30" i="1" s="1"/>
  <c r="E5" i="1"/>
  <c r="E4" i="1"/>
  <c r="E3" i="1"/>
  <c r="E2" i="1"/>
  <c r="E102" i="1" l="1"/>
  <c r="E101" i="1"/>
  <c r="E66" i="1"/>
  <c r="E89" i="1"/>
  <c r="E40" i="1"/>
  <c r="E65" i="1"/>
  <c r="K64" i="1"/>
  <c r="E64" i="1" s="1"/>
  <c r="E31" i="1"/>
  <c r="E13" i="1"/>
  <c r="E37" i="1"/>
  <c r="E11" i="1"/>
  <c r="E29" i="1"/>
  <c r="E14" i="1"/>
  <c r="E34" i="1"/>
  <c r="E8" i="1"/>
  <c r="E10" i="1"/>
</calcChain>
</file>

<file path=xl/sharedStrings.xml><?xml version="1.0" encoding="utf-8"?>
<sst xmlns="http://schemas.openxmlformats.org/spreadsheetml/2006/main" count="120" uniqueCount="99">
  <si>
    <t>Finisher Boran</t>
  </si>
  <si>
    <t>Frac finisher to total animal population</t>
  </si>
  <si>
    <t>Finisher Exotic</t>
  </si>
  <si>
    <t>Frac boran to total herd</t>
  </si>
  <si>
    <t>Cowcalf Boran</t>
  </si>
  <si>
    <t>Cowcalf Exotic</t>
  </si>
  <si>
    <t>Frac pastoral to agpastoral - arid</t>
  </si>
  <si>
    <t>Frac pastoral to agpastoral - semiarid</t>
  </si>
  <si>
    <t>Pastoral Zebu</t>
  </si>
  <si>
    <t>Frac mixed to agropastoral - semi arid</t>
  </si>
  <si>
    <t>Pastoral Boran</t>
  </si>
  <si>
    <t>Pastoral -- frac boran to total herd</t>
  </si>
  <si>
    <t>Agpastoral Zebu</t>
  </si>
  <si>
    <t>Agpastoral -- frac boran to total herd</t>
  </si>
  <si>
    <t>Agpastoral Boran</t>
  </si>
  <si>
    <t>Mixed -- Frac boran to total herd</t>
  </si>
  <si>
    <t>Mixed Zebu</t>
  </si>
  <si>
    <t>Mixed Boran</t>
  </si>
  <si>
    <t>2050 Projections</t>
  </si>
  <si>
    <t>Semi-int dairy</t>
  </si>
  <si>
    <t>Summation</t>
  </si>
  <si>
    <t>"Agpastoral_Boran_2050@1"+"Agpastoral_Zebu_2050@1"+"Cowcalf_Boran_2050@1"+"Cowcalf_Exotic_2050@1"+"Finisher_Boran_2050@1"+"Finisher_Exotic_2050@1"+"Mixed_Boran_2050@1"+"Mixed_Zebu_2050@1"+"Pastoral_Boran_2050@1"+"Pastoral_Zebu_2050@1"</t>
  </si>
  <si>
    <t>Biomass demand</t>
  </si>
  <si>
    <t>Roughage Demand (kg/ DM/ha/y)</t>
  </si>
  <si>
    <t>Avg_LW_Beef</t>
  </si>
  <si>
    <t>Avg_LW_Dairy</t>
  </si>
  <si>
    <t>Fed_frac</t>
  </si>
  <si>
    <t>Feed_Frac_BW</t>
  </si>
  <si>
    <t>Biomass supply (Mg/hayr)</t>
  </si>
  <si>
    <t>MODIS NPP Projections (2050)</t>
  </si>
  <si>
    <t>2050 RCP 4.5</t>
  </si>
  <si>
    <t>2050 RCP 8.5</t>
  </si>
  <si>
    <t>BIOMASS SUPPLY</t>
  </si>
  <si>
    <t>Grass biomass</t>
  </si>
  <si>
    <t>C Frac grass</t>
  </si>
  <si>
    <t>AGBR Grass</t>
  </si>
  <si>
    <t>Crop biomass</t>
  </si>
  <si>
    <t>NPP Grass frac - Grassland</t>
  </si>
  <si>
    <t>NPP Grass frac - Cropland</t>
  </si>
  <si>
    <t>Total biomass</t>
  </si>
  <si>
    <t>sum of crop and grass</t>
  </si>
  <si>
    <t>NPP Grass frac - Shrubland</t>
  </si>
  <si>
    <t>2050 projected</t>
  </si>
  <si>
    <t>C_frac_crop</t>
  </si>
  <si>
    <t>Crop_HI</t>
  </si>
  <si>
    <t>GRASS</t>
  </si>
  <si>
    <t xml:space="preserve">PUF_stover  </t>
  </si>
  <si>
    <t>R 4</t>
  </si>
  <si>
    <t>R 8</t>
  </si>
  <si>
    <t>NPP Crop frac - Cropland</t>
  </si>
  <si>
    <t>CROP</t>
  </si>
  <si>
    <t>r4</t>
  </si>
  <si>
    <t>r8</t>
  </si>
  <si>
    <t>NPP GRASS Only</t>
  </si>
  <si>
    <t>NPP CROP Only</t>
  </si>
  <si>
    <t>NPP SHRUB Only</t>
  </si>
  <si>
    <t>(30 =GRASSL, 40 = CROPL, 20= SHRUBL)</t>
  </si>
  <si>
    <t>AGBR crop</t>
  </si>
  <si>
    <t>LGA=2</t>
  </si>
  <si>
    <t xml:space="preserve">LGA 2; LGH 3; LGT 4; MRA 6; MRH 7; MRT 8 </t>
  </si>
  <si>
    <t>Duku et al. projections -- 2050s RCP 8.5</t>
  </si>
  <si>
    <t>LGT=4</t>
  </si>
  <si>
    <t>LGH=2</t>
  </si>
  <si>
    <t>MRA=6</t>
  </si>
  <si>
    <t>MRH=7</t>
  </si>
  <si>
    <t>MRT=8</t>
  </si>
  <si>
    <t>Duku et al. projections -- 2050s RCP 4.5</t>
  </si>
  <si>
    <t>2020 - Projected from 2014</t>
  </si>
  <si>
    <t>Frac period</t>
  </si>
  <si>
    <t>2050 R4</t>
  </si>
  <si>
    <t>2050 R8</t>
  </si>
  <si>
    <t>("MODIS_NPP_2050_R4_new@1")*("2020_LC_LR_is_grassland@1"=1)</t>
  </si>
  <si>
    <t>("MODIS_NPP_2050_R4_new@1")*("2020_LC_LR_is_cropland@1"=1)</t>
  </si>
  <si>
    <t>("MODIS_NPP_2050_R4_new@1")*("2020_LC_LR_is_shrubland@1"=1)</t>
  </si>
  <si>
    <t>NPP_CROP_2050_R4.tif</t>
  </si>
  <si>
    <t>NPP_SHRUB_2050_R4.tif</t>
  </si>
  <si>
    <t>NPP_CROP_2050_R8.tif</t>
  </si>
  <si>
    <t>NPP_GRASS_2050_R8.tif</t>
  </si>
  <si>
    <t>NPP_SHRUB_2050_R8.tif</t>
  </si>
  <si>
    <t>("MODIS_NPP_2050_R8_new_new@1")*("2020_LC_LR_is_grassland@1"=1)</t>
  </si>
  <si>
    <t>("MODIS_NPP_2050_R8_new_new@1")*("2020_LC_LR_is_cropland@1"=1)</t>
  </si>
  <si>
    <t>("MODIS_NPP_2050_R8_new_new@1")*("2020_LC_LR_is_shrubland@1"=1)</t>
  </si>
  <si>
    <t>("MODIS_NPP_2020_New@1")*("2020_LC_LR_is_grassland@1"=1)</t>
  </si>
  <si>
    <t>("MODIS_NPP_2020_New@1")*("2020_LC_LR_is_cropland@1"=1)</t>
  </si>
  <si>
    <t>("MODIS_NPP_2020_New@1")*("2020_LC_LR_is_shrubland@1"=1)</t>
  </si>
  <si>
    <t>NPP_2020_CROP_new</t>
  </si>
  <si>
    <t>NPP_2020_GRASS_new</t>
  </si>
  <si>
    <t>NPP_2020_SHRUB_new</t>
  </si>
  <si>
    <t>PUF Grass -- grassland -- extensive</t>
  </si>
  <si>
    <t>PUF Grass -- grassland -- intensive</t>
  </si>
  <si>
    <t>Total biomass demand - 2020</t>
  </si>
  <si>
    <t>BL</t>
  </si>
  <si>
    <t>WC</t>
  </si>
  <si>
    <t>BC</t>
  </si>
  <si>
    <t>Mean weight - Cattle - WC</t>
  </si>
  <si>
    <t>Mean weight - Cattle - BL</t>
  </si>
  <si>
    <t>Mean weight - Cattle - BC</t>
  </si>
  <si>
    <t>Mean weight - Sheep - BC</t>
  </si>
  <si>
    <t>Mean weight - Dairy -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</si>
</sst>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/>
    <xf numFmtId="0" fontId="3" fillId="0" borderId="0" xfId="0" quotePrefix="1" applyFont="1"/>
    <xf numFmtId="0" fontId="0" fillId="0" borderId="0" xfId="0" applyAlignment="1">
      <alignment vertical="center" wrapText="1"/>
    </xf>
    <xf numFmtId="0" fontId="3" fillId="0" borderId="0" xfId="0" quotePrefix="1" applyFont="1" applyAlignment="1">
      <alignment wrapText="1"/>
    </xf>
    <xf numFmtId="0" fontId="0" fillId="0" borderId="0" xfId="0" quotePrefix="1" applyAlignment="1">
      <alignment vertical="center" wrapText="1"/>
    </xf>
    <xf numFmtId="16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KE-beef-main/Model/Results.summary/trend.lines.xlsx" TargetMode="External"/><Relationship Id="rId2" Type="http://schemas.openxmlformats.org/officeDocument/2006/relationships/externalLinkPath" Target="file:///C:\Users\JHawkins\Documents\Github\KE-beef-main\Model\Results.summary\trend.lines.xlsx" TargetMode="External"/><Relationship Id="rId1" Type="http://schemas.openxmlformats.org/officeDocument/2006/relationships/externalLinkPath" Target="/Users/JHawkins/Documents/Github/KE-beef-main/Model/Results.summary/trend.li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Hawkins\Documents\Github\KE.beef.spatial\Rasterized%20animal%20populations\Zonal%20statistics\Summary.xlsx" TargetMode="External"/><Relationship Id="rId1" Type="http://schemas.openxmlformats.org/officeDocument/2006/relationships/externalLinkPath" Target="Rasterized%20animal%20populations/Zonal%20statistics/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odel_implemented"/>
      <sheetName val="FAO_2019_animal_trends"/>
    </sheetNames>
    <sheetDataSet>
      <sheetData sheetId="0"/>
      <sheetData sheetId="1">
        <row r="35">
          <cell r="F35">
            <v>0.53615960099750615</v>
          </cell>
          <cell r="G35">
            <v>0.38312009613345605</v>
          </cell>
        </row>
        <row r="36">
          <cell r="G36">
            <v>2.7950424483806726</v>
          </cell>
        </row>
        <row r="37">
          <cell r="G37">
            <v>86.466565349544069</v>
          </cell>
        </row>
        <row r="38">
          <cell r="G38">
            <v>1.0372340425531916</v>
          </cell>
        </row>
        <row r="40">
          <cell r="G40">
            <v>1.354588821344141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idate_2020"/>
      <sheetName val="Herd_decision_tree"/>
      <sheetName val="Projections"/>
      <sheetName val="ZS_Summary"/>
      <sheetName val="NPP"/>
      <sheetName val="Carrying_Capacity"/>
      <sheetName val="CC_to_Rumen8.io"/>
      <sheetName val="Beef_population_to_GIS"/>
    </sheetNames>
    <sheetDataSet>
      <sheetData sheetId="0"/>
      <sheetData sheetId="1">
        <row r="2">
          <cell r="I2">
            <v>3.5000000000000003E-2</v>
          </cell>
        </row>
        <row r="3">
          <cell r="I3">
            <v>0.68</v>
          </cell>
        </row>
        <row r="7">
          <cell r="I7">
            <v>0.76913039999999999</v>
          </cell>
        </row>
        <row r="8">
          <cell r="I8">
            <v>0.5848000000000001</v>
          </cell>
        </row>
        <row r="9">
          <cell r="I9">
            <v>0.15670000000000001</v>
          </cell>
        </row>
        <row r="11">
          <cell r="I11">
            <v>0.1244</v>
          </cell>
        </row>
        <row r="12">
          <cell r="I12">
            <v>7.0000000000000007E-2</v>
          </cell>
        </row>
        <row r="13">
          <cell r="I13">
            <v>0.08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F234B-56A4-4CB3-B68D-D99D514D570A}">
  <dimension ref="B2:N110"/>
  <sheetViews>
    <sheetView tabSelected="1" topLeftCell="A19" workbookViewId="0">
      <selection activeCell="E27" sqref="E27"/>
    </sheetView>
  </sheetViews>
  <sheetFormatPr defaultRowHeight="15" x14ac:dyDescent="0.25"/>
  <cols>
    <col min="4" max="4" width="28.42578125" customWidth="1"/>
    <col min="5" max="5" width="141.85546875" customWidth="1"/>
    <col min="7" max="7" width="27" customWidth="1"/>
    <col min="8" max="8" width="25" customWidth="1"/>
  </cols>
  <sheetData>
    <row r="2" spans="2:8" x14ac:dyDescent="0.25">
      <c r="D2" t="s">
        <v>0</v>
      </c>
      <c r="E2" t="str">
        <f>_xlfn.CONCAT("('Beef_density_comm_adj_h_km2@1' + 'Beef_density_subs_adj_h_km2@1' )* (",H2,") * ((",H3,"))")</f>
        <v>('Beef_density_comm_adj_h_km2@1' + 'Beef_density_subs_adj_h_km2@1' )* (0.035) * ((0.68))</v>
      </c>
      <c r="G2" t="s">
        <v>1</v>
      </c>
      <c r="H2">
        <f>[2]Herd_decision_tree!$I$2</f>
        <v>3.5000000000000003E-2</v>
      </c>
    </row>
    <row r="3" spans="2:8" x14ac:dyDescent="0.25">
      <c r="D3" t="s">
        <v>2</v>
      </c>
      <c r="E3" t="str">
        <f>_xlfn.CONCAT("('Beef_density_comm_adj_h_km2@1' + 'Beef_density_subs_adj_h_km2@1' )* (",H2,")* (1-(",H3,"))")</f>
        <v>('Beef_density_comm_adj_h_km2@1' + 'Beef_density_subs_adj_h_km2@1' )* (0.035)* (1-(0.68))</v>
      </c>
      <c r="G3" t="s">
        <v>3</v>
      </c>
      <c r="H3">
        <f>[2]Herd_decision_tree!$I$3</f>
        <v>0.68</v>
      </c>
    </row>
    <row r="4" spans="2:8" x14ac:dyDescent="0.25">
      <c r="D4" t="s">
        <v>4</v>
      </c>
      <c r="E4" t="str">
        <f>_xlfn.CONCAT("(('Beef_density_comm_adj_h_km2@1' ) - 'Finisher_Boran@1' - 'Finisher_Exotic@1' ) * (",H3,")")</f>
        <v>(('Beef_density_comm_adj_h_km2@1' ) - 'Finisher_Boran@1' - 'Finisher_Exotic@1' ) * (0.68)</v>
      </c>
    </row>
    <row r="5" spans="2:8" x14ac:dyDescent="0.25">
      <c r="B5" s="1"/>
      <c r="D5" t="s">
        <v>5</v>
      </c>
      <c r="E5" t="str">
        <f>_xlfn.CONCAT("(('Beef_density_comm_adj_h_km2@1') - 'Finisher_Boran@1' - 'Finisher_Exotic@1') * (1-",H3,")")</f>
        <v>(('Beef_density_comm_adj_h_km2@1') - 'Finisher_Boran@1' - 'Finisher_Exotic@1') * (1-0.68)</v>
      </c>
      <c r="G5" t="s">
        <v>6</v>
      </c>
      <c r="H5" s="2">
        <f>[2]Herd_decision_tree!$I7</f>
        <v>0.76913039999999999</v>
      </c>
    </row>
    <row r="6" spans="2:8" x14ac:dyDescent="0.25">
      <c r="G6" t="s">
        <v>7</v>
      </c>
      <c r="H6" s="2">
        <f>[2]Herd_decision_tree!$I8</f>
        <v>0.5848000000000001</v>
      </c>
    </row>
    <row r="7" spans="2:8" x14ac:dyDescent="0.25">
      <c r="D7" t="s">
        <v>8</v>
      </c>
      <c r="E7" t="str">
        <f>_xlfn.CONCAT("('Beef_density_subs_adj_h_km2@1')*(('Hybrid_AEZs@1'=1)*((",H5,"))*(1-(",H9,"))+('Hybrid_AEZs@1'=2)*((",H6,"))*(1-(",H9,")))")</f>
        <v>('Beef_density_subs_adj_h_km2@1')*(('Hybrid_AEZs@1'=1)*((0.7691304))*(1-(0.1244))+('Hybrid_AEZs@1'=2)*((0.5848))*(1-(0.1244)))</v>
      </c>
      <c r="G7" t="s">
        <v>9</v>
      </c>
      <c r="H7" s="2">
        <f>[2]Herd_decision_tree!$I9</f>
        <v>0.15670000000000001</v>
      </c>
    </row>
    <row r="8" spans="2:8" x14ac:dyDescent="0.25">
      <c r="D8" t="s">
        <v>10</v>
      </c>
      <c r="E8" t="str">
        <f>_xlfn.CONCAT("('Beef_density_subs_adj_h_km2@1')*(('Hybrid_AEZs@1'=1)*((",H5,"))*((",H9,"))+('Hybrid_AEZs@1'=2)*((",H6,"))*((",H9,")))")</f>
        <v>('Beef_density_subs_adj_h_km2@1')*(('Hybrid_AEZs@1'=1)*((0.7691304))*((0.1244))+('Hybrid_AEZs@1'=2)*((0.5848))*((0.1244)))</v>
      </c>
    </row>
    <row r="9" spans="2:8" x14ac:dyDescent="0.25">
      <c r="G9" t="s">
        <v>11</v>
      </c>
      <c r="H9">
        <f>[2]Herd_decision_tree!$I11</f>
        <v>0.1244</v>
      </c>
    </row>
    <row r="10" spans="2:8" x14ac:dyDescent="0.25">
      <c r="D10" t="s">
        <v>12</v>
      </c>
      <c r="E10" t="str">
        <f>_xlfn.CONCAT("('Beef_density_subs_adj_h_km2@1')*(('Hybrid_AEZs@1'=2)*(1-(",H6,"))*(1-(",H10,"))+('Hybrid_AEZs@1'=3 OR 'Hybrid_AEZs@1'=4 OR 'Hybrid_AEZs@1'=5)*(1-(",H6,"))*(1-(",H10,")))")</f>
        <v>('Beef_density_subs_adj_h_km2@1')*(('Hybrid_AEZs@1'=2)*(1-(0.5848))*(1-(0.07))+('Hybrid_AEZs@1'=3 OR 'Hybrid_AEZs@1'=4 OR 'Hybrid_AEZs@1'=5)*(1-(0.5848))*(1-(0.07)))</v>
      </c>
      <c r="G10" t="s">
        <v>13</v>
      </c>
      <c r="H10">
        <f>[2]Herd_decision_tree!$I12</f>
        <v>7.0000000000000007E-2</v>
      </c>
    </row>
    <row r="11" spans="2:8" x14ac:dyDescent="0.25">
      <c r="D11" t="s">
        <v>14</v>
      </c>
      <c r="E11" t="str">
        <f>_xlfn.CONCAT("('Beef_density_subs_adj_h_km2@1')*(('Hybrid_AEZs@1'=2)*(1-(",H6,"))*((",H10,"))+('Hybrid_AEZs@1'=3 OR 'Hybrid_AEZs@1'=4 OR 'Hybrid_AEZs@1'=5)*(1-(",H6,"))*((",H10,")))")</f>
        <v>('Beef_density_subs_adj_h_km2@1')*(('Hybrid_AEZs@1'=2)*(1-(0.5848))*((0.07))+('Hybrid_AEZs@1'=3 OR 'Hybrid_AEZs@1'=4 OR 'Hybrid_AEZs@1'=5)*(1-(0.5848))*((0.07)))</v>
      </c>
      <c r="G11" t="s">
        <v>15</v>
      </c>
      <c r="H11">
        <f>[2]Herd_decision_tree!$I13</f>
        <v>0.08</v>
      </c>
    </row>
    <row r="13" spans="2:8" x14ac:dyDescent="0.25">
      <c r="D13" t="s">
        <v>16</v>
      </c>
      <c r="E13" t="str">
        <f>_xlfn.CONCAT("('Beef_density_subs_adj_h_km2@1')*('Hybrid_AEZs@1'=3 OR 'Hybrid_AEZs@1'=4 OR 'Hybrid_AEZs@1'=5)*((",H7,"))*(1-(",H11,"))")</f>
        <v>('Beef_density_subs_adj_h_km2@1')*('Hybrid_AEZs@1'=3 OR 'Hybrid_AEZs@1'=4 OR 'Hybrid_AEZs@1'=5)*((0.1567))*(1-(0.08))</v>
      </c>
      <c r="G13" t="s">
        <v>94</v>
      </c>
      <c r="H13">
        <v>196.1</v>
      </c>
    </row>
    <row r="14" spans="2:8" x14ac:dyDescent="0.25">
      <c r="D14" t="s">
        <v>17</v>
      </c>
      <c r="E14" t="str">
        <f>_xlfn.CONCAT("('Beef_density_subs_adj_h_km2@1')*('Hybrid_AEZs@1'=3 OR 'Hybrid_AEZs@1'=4 OR 'Hybrid_AEZs@1'=5)*((",H7,"))*((",H11,"))")</f>
        <v>('Beef_density_subs_adj_h_km2@1')*('Hybrid_AEZs@1'=3 OR 'Hybrid_AEZs@1'=4 OR 'Hybrid_AEZs@1'=5)*((0.1567))*((0.08))</v>
      </c>
      <c r="G14" t="s">
        <v>95</v>
      </c>
      <c r="H14">
        <v>196.1</v>
      </c>
    </row>
    <row r="15" spans="2:8" x14ac:dyDescent="0.25">
      <c r="G15" t="s">
        <v>96</v>
      </c>
      <c r="H15">
        <v>196.1</v>
      </c>
    </row>
    <row r="16" spans="2:8" x14ac:dyDescent="0.25">
      <c r="G16" t="s">
        <v>97</v>
      </c>
      <c r="H16">
        <v>30</v>
      </c>
    </row>
    <row r="17" spans="4:8" x14ac:dyDescent="0.25">
      <c r="G17" t="s">
        <v>98</v>
      </c>
      <c r="H17">
        <v>201</v>
      </c>
    </row>
    <row r="19" spans="4:8" x14ac:dyDescent="0.25">
      <c r="D19" t="s">
        <v>90</v>
      </c>
    </row>
    <row r="20" spans="4:8" x14ac:dyDescent="0.25">
      <c r="D20" t="s">
        <v>91</v>
      </c>
      <c r="E20" t="str">
        <f>_xlfn.CONCAT("(1/1000)*(1/100)*365*0.02*('Beef_density_total_adj_h_km2@1'*",H13," + 'Sheep_density_total_h_km2@1' '*",H16,"+ 'Dairy_density_total_adj_h_km2@1''*",H17," )*( 1-0.065)")</f>
        <v>(1/1000)*(1/100)*365*0.02*('Beef_density_total_adj_h_km2@1'*196.1 + 'Sheep_density_total_h_km2@1' '*30+ 'Dairy_density_total_adj_h_km2@1''*201 )*( 1-0.065)</v>
      </c>
    </row>
    <row r="21" spans="4:8" x14ac:dyDescent="0.25">
      <c r="D21" t="s">
        <v>92</v>
      </c>
      <c r="E21" t="str">
        <f>_xlfn.CONCAT("(1/1000)*(1/100)*365*0.02*('Beef_density_total_adj_h_km2@1'*",H14," + 'Sheep_density_total_h_km2@1' '*",H16,"+ 'Dairy_density_total_adj_h_km2@1''*",H17," )*( 1-0.065)")</f>
        <v>(1/1000)*(1/100)*365*0.02*('Beef_density_total_adj_h_km2@1'*196.1 + 'Sheep_density_total_h_km2@1' '*30+ 'Dairy_density_total_adj_h_km2@1''*201 )*( 1-0.065)</v>
      </c>
    </row>
    <row r="22" spans="4:8" x14ac:dyDescent="0.25">
      <c r="D22" t="s">
        <v>93</v>
      </c>
      <c r="E22" t="str">
        <f>_xlfn.CONCAT("(1/1000)*(1/100)*365*0.02*('Beef_density_total_adj_h_km2@1'*",H15," + 'Sheep_density_total_h_km2@1' '*",H16,"+ 'Dairy_density_total_adj_h_km2@1''*",H17," )*( 1-0.065)")</f>
        <v>(1/1000)*(1/100)*365*0.02*('Beef_density_total_adj_h_km2@1'*196.1 + 'Sheep_density_total_h_km2@1' '*30+ 'Dairy_density_total_adj_h_km2@1''*201 )*( 1-0.065)</v>
      </c>
    </row>
    <row r="27" spans="4:8" x14ac:dyDescent="0.25">
      <c r="D27" s="3" t="s">
        <v>18</v>
      </c>
    </row>
    <row r="29" spans="4:8" x14ac:dyDescent="0.25">
      <c r="D29" t="s">
        <v>0</v>
      </c>
      <c r="E29" t="str">
        <f>_xlfn.CONCAT("'Finisher_Boran@1'+(30/100)*'Finisher_Boran@1'*(",G29,")")</f>
        <v>'Finisher_Boran@1'+(30/100)*'Finisher_Boran@1'*(86.4665653495441)</v>
      </c>
      <c r="G29">
        <f>[1]FAO_2019_animal_trends!G37</f>
        <v>86.466565349544069</v>
      </c>
    </row>
    <row r="30" spans="4:8" x14ac:dyDescent="0.25">
      <c r="D30" t="s">
        <v>2</v>
      </c>
      <c r="E30" t="str">
        <f>_xlfn.CONCAT("'Finisher_Exotic@1'+(30/100)*'Finisher_Exotic@1'*(",G29,")")</f>
        <v>'Finisher_Exotic@1'+(30/100)*'Finisher_Exotic@1'*(86.4665653495441)</v>
      </c>
    </row>
    <row r="31" spans="4:8" x14ac:dyDescent="0.25">
      <c r="D31" t="s">
        <v>4</v>
      </c>
      <c r="E31" t="str">
        <f>_xlfn.CONCAT("'Cowcalf_Boran@1'+(30/100)*'Cowcalf_Boran@1'*(",G31,")")</f>
        <v>'Cowcalf_Boran@1'+(30/100)*'Cowcalf_Boran@1'*(1.03723404255319)</v>
      </c>
      <c r="G31">
        <f>[1]FAO_2019_animal_trends!G38</f>
        <v>1.0372340425531916</v>
      </c>
    </row>
    <row r="32" spans="4:8" x14ac:dyDescent="0.25">
      <c r="D32" t="s">
        <v>5</v>
      </c>
      <c r="E32" t="str">
        <f>_xlfn.CONCAT("'Cowcalf_Exotic@1'+(30/100)*'Cowcalf_Exotic@1'*(",G31,")")</f>
        <v>'Cowcalf_Exotic@1'+(30/100)*'Cowcalf_Exotic@1'*(1.03723404255319)</v>
      </c>
    </row>
    <row r="34" spans="4:7" x14ac:dyDescent="0.25">
      <c r="D34" t="s">
        <v>8</v>
      </c>
      <c r="E34" t="str">
        <f>_xlfn.CONCAT("'Pastoral_Zebu@1'+(30/100)*'Pastoral_Zebu@1'*(",G34,")")</f>
        <v>'Pastoral_Zebu@1'+(30/100)*'Pastoral_Zebu@1'*(0.383120096133456)</v>
      </c>
      <c r="G34">
        <f>[1]FAO_2019_animal_trends!G35</f>
        <v>0.38312009613345605</v>
      </c>
    </row>
    <row r="35" spans="4:7" x14ac:dyDescent="0.25">
      <c r="D35" t="s">
        <v>10</v>
      </c>
      <c r="E35" t="str">
        <f>_xlfn.CONCAT("'Pastoral_Boran@1'+(30/100)*'Pastoral_Boran@1'*(",G34,")")</f>
        <v>'Pastoral_Boran@1'+(30/100)*'Pastoral_Boran@1'*(0.383120096133456)</v>
      </c>
    </row>
    <row r="37" spans="4:7" x14ac:dyDescent="0.25">
      <c r="D37" t="s">
        <v>12</v>
      </c>
      <c r="E37" t="str">
        <f>_xlfn.CONCAT("'Agpastoral_Zebu@1'+(30/100)*'Agpastoral_Zebu@1'*(",G37,")")</f>
        <v>'Agpastoral_Zebu@1'+(30/100)*'Agpastoral_Zebu@1'*(2.79504244838067)</v>
      </c>
      <c r="G37">
        <f>[1]FAO_2019_animal_trends!G36</f>
        <v>2.7950424483806726</v>
      </c>
    </row>
    <row r="38" spans="4:7" x14ac:dyDescent="0.25">
      <c r="D38" t="s">
        <v>14</v>
      </c>
      <c r="E38" t="str">
        <f>_xlfn.CONCAT("'Agpastoral_Boran@1'+(30/100)*'Agpastoral_Boran@1'*(",G37,")")</f>
        <v>'Agpastoral_Boran@1'+(30/100)*'Agpastoral_Boran@1'*(2.79504244838067)</v>
      </c>
    </row>
    <row r="40" spans="4:7" x14ac:dyDescent="0.25">
      <c r="D40" t="s">
        <v>16</v>
      </c>
      <c r="E40" t="str">
        <f>_xlfn.CONCAT("'Mixed_Zebu@1'+(30/100)*'Mixed_Zebu@1'*(",G40,")")</f>
        <v>'Mixed_Zebu@1'+(30/100)*'Mixed_Zebu@1'*(1.35458882134414)</v>
      </c>
      <c r="G40">
        <f>[1]FAO_2019_animal_trends!G40</f>
        <v>1.354588821344141</v>
      </c>
    </row>
    <row r="41" spans="4:7" x14ac:dyDescent="0.25">
      <c r="D41" t="s">
        <v>17</v>
      </c>
      <c r="E41" t="str">
        <f>_xlfn.CONCAT("'Mixed_Boran@1'+(30/100)*'Mixed_Boran@1'*(",G40,")")</f>
        <v>'Mixed_Boran@1'+(30/100)*'Mixed_Boran@1'*(1.35458882134414)</v>
      </c>
    </row>
    <row r="43" spans="4:7" x14ac:dyDescent="0.25">
      <c r="D43" t="s">
        <v>19</v>
      </c>
      <c r="E43" t="str">
        <f>_xlfn.CONCAT("'Dairy_density_total_adj_h_km2@1'+(30/100)*'Dairy_density_total_adj_h_km2@1'*(",G43,")")</f>
        <v>'Dairy_density_total_adj_h_km2@1'+(30/100)*'Dairy_density_total_adj_h_km2@1'*(1.35458882134414)</v>
      </c>
      <c r="G43">
        <f>[1]FAO_2019_animal_trends!G40</f>
        <v>1.354588821344141</v>
      </c>
    </row>
    <row r="45" spans="4:7" x14ac:dyDescent="0.25">
      <c r="D45" t="s">
        <v>20</v>
      </c>
      <c r="E45" s="1" t="s">
        <v>21</v>
      </c>
    </row>
    <row r="49" spans="4:14" x14ac:dyDescent="0.25">
      <c r="D49" t="s">
        <v>22</v>
      </c>
    </row>
    <row r="50" spans="4:14" x14ac:dyDescent="0.25">
      <c r="D50">
        <v>2020</v>
      </c>
    </row>
    <row r="51" spans="4:14" x14ac:dyDescent="0.25">
      <c r="D51" t="s">
        <v>23</v>
      </c>
      <c r="E51" t="str">
        <f>_xlfn.CONCAT("365*(1/100)*('Beef_density_total_adj_h_km2@1'*(",I51,")+'Dairy_density_total_adj_h_km2@1'*(",I52,"))*(1-(",I53,"))*(",I54,")")</f>
        <v>365*(1/100)*('Beef_density_total_adj_h_km2@1'*(167)+'Dairy_density_total_adj_h_km2@1'*(200))*(1-(0.02))*(0.025)</v>
      </c>
      <c r="H51" t="s">
        <v>24</v>
      </c>
      <c r="I51">
        <v>167</v>
      </c>
    </row>
    <row r="52" spans="4:14" x14ac:dyDescent="0.25">
      <c r="H52" t="s">
        <v>25</v>
      </c>
      <c r="I52">
        <v>200</v>
      </c>
    </row>
    <row r="53" spans="4:14" x14ac:dyDescent="0.25">
      <c r="H53" t="s">
        <v>26</v>
      </c>
      <c r="I53">
        <v>0.02</v>
      </c>
    </row>
    <row r="54" spans="4:14" x14ac:dyDescent="0.25">
      <c r="H54" t="s">
        <v>27</v>
      </c>
      <c r="I54">
        <v>2.5000000000000001E-2</v>
      </c>
    </row>
    <row r="55" spans="4:14" x14ac:dyDescent="0.25">
      <c r="D55">
        <v>2050</v>
      </c>
    </row>
    <row r="56" spans="4:14" x14ac:dyDescent="0.25">
      <c r="D56" t="s">
        <v>23</v>
      </c>
      <c r="E56" t="str">
        <f>_xlfn.CONCAT("365*(1/100)*('Beef_density_total_2050_adj_h_km2@1'*(",I51,")+'Dairy_total_2050@1'*(",I52,"))*(1-(",I53,"))*(",I54,")")</f>
        <v>365*(1/100)*('Beef_density_total_2050_adj_h_km2@1'*(167)+'Dairy_total_2050@1'*(200))*(1-(0.02))*(0.025)</v>
      </c>
    </row>
    <row r="61" spans="4:14" x14ac:dyDescent="0.25">
      <c r="D61" s="3" t="s">
        <v>28</v>
      </c>
    </row>
    <row r="62" spans="4:14" x14ac:dyDescent="0.25">
      <c r="D62" s="3" t="s">
        <v>29</v>
      </c>
    </row>
    <row r="63" spans="4:14" x14ac:dyDescent="0.25">
      <c r="E63" t="s">
        <v>59</v>
      </c>
      <c r="I63" t="s">
        <v>58</v>
      </c>
      <c r="J63" t="s">
        <v>62</v>
      </c>
      <c r="K63" t="s">
        <v>61</v>
      </c>
      <c r="L63" t="s">
        <v>63</v>
      </c>
      <c r="M63" t="s">
        <v>64</v>
      </c>
      <c r="N63" t="s">
        <v>65</v>
      </c>
    </row>
    <row r="64" spans="4:14" ht="75" x14ac:dyDescent="0.25">
      <c r="D64" t="s">
        <v>67</v>
      </c>
      <c r="E64" s="4" t="str">
        <f>_xlfn.CONCAT("('MODIS_NPP_RAST_2014_LR@1')*('clipped_LPS@1'=2)*((",I64,")*(",G64,")+1)+('MODIS_NPP_RAST_2014_LR@1')*('clipped_LPS@1'=3)*((",J64,")*(",G64,")+1)+('MODIS_NPP_RAST_2014_LR@1')*('clipped_LPS@1'=4)*((",K64,")*(",G64,")+1)+('MODIS_NPP_RAST_2014_LR@1')*('clipped_LPS@1'=6)*((",L64,")*(",G64,")+1)+('MODIS_NPP_RAST_2014_LR@1')*('clipped_LPS@1'=7)*((",M64,")*(",G64,")+1)+('MODIS_NPP_RAST_2014_LR@1')*('clipped_LPS@1'=8)*((",N64,")*(",G64,")+1)
")</f>
        <v xml:space="preserve">('MODIS_NPP_RAST_2014_LR@1')*('clipped_LPS@1'=2)*((0.104166666666667)*(0.16667)+1)+('MODIS_NPP_RAST_2014_LR@1')*('clipped_LPS@1'=3)*((0)*(0.16667)+1)+('MODIS_NPP_RAST_2014_LR@1')*('clipped_LPS@1'=4)*((-0.0952380952380953)*(0.16667)+1)+('MODIS_NPP_RAST_2014_LR@1')*('clipped_LPS@1'=6)*((0.0212765957446808)*(0.16667)+1)+('MODIS_NPP_RAST_2014_LR@1')*('clipped_LPS@1'=7)*((-0.0599999999999999)*(0.16667)+1)+('MODIS_NPP_RAST_2014_LR@1')*('clipped_LPS@1'=8)*((-0.126315789473684)*(0.16667)+1)
</v>
      </c>
      <c r="F64" t="s">
        <v>68</v>
      </c>
      <c r="G64">
        <v>0.16667000000000001</v>
      </c>
      <c r="I64">
        <f>I65-1</f>
        <v>0.10416666666666674</v>
      </c>
      <c r="J64">
        <f t="shared" ref="J64:N64" si="0">J65-1</f>
        <v>0</v>
      </c>
      <c r="K64">
        <f t="shared" si="0"/>
        <v>-9.5238095238095344E-2</v>
      </c>
      <c r="L64">
        <f t="shared" si="0"/>
        <v>2.1276595744680771E-2</v>
      </c>
      <c r="M64">
        <f t="shared" si="0"/>
        <v>-5.9999999999999942E-2</v>
      </c>
      <c r="N64">
        <f t="shared" si="0"/>
        <v>-0.12631578947368416</v>
      </c>
    </row>
    <row r="65" spans="4:14" ht="126" customHeight="1" x14ac:dyDescent="0.25">
      <c r="D65" s="3" t="s">
        <v>30</v>
      </c>
      <c r="E65" s="4" t="str">
        <f>_xlfn.CONCAT("('MODIS_NPP_RAST_2014_LR@1')*('clipped_LPS@1'=2)*(",I65,") +('MODIS_NPP_RAST_2014_LR@1')*('clipped_LPS@1'=3)*(",J65,")+('MODIS_NPP_RAST_2014_LR@1')*('clipped_LPS@1'=4)*(",K65,")+('MODIS_NPP_RAST_2014_LR@1')*('clipped_LPS@1'=6)*(",L65,")+('MODIS_NPP_RAST_2014_LR@1')*('clipped_LPS@1'=7)*(",M65,")+('MODIS_NPP_RAST_2014_LR@1')*('clipped_LPS@1'=8)*(",N65,") 
")</f>
        <v xml:space="preserve">('MODIS_NPP_RAST_2014_LR@1')*('clipped_LPS@1'=2)*(1.10416666666667) +('MODIS_NPP_RAST_2014_LR@1')*('clipped_LPS@1'=3)*(1)+('MODIS_NPP_RAST_2014_LR@1')*('clipped_LPS@1'=4)*(0.904761904761905)+('MODIS_NPP_RAST_2014_LR@1')*('clipped_LPS@1'=6)*(1.02127659574468)+('MODIS_NPP_RAST_2014_LR@1')*('clipped_LPS@1'=7)*(0.94)+('MODIS_NPP_RAST_2014_LR@1')*('clipped_LPS@1'=8)*(0.873684210526316) 
</v>
      </c>
      <c r="H65" t="s">
        <v>66</v>
      </c>
      <c r="I65">
        <f>26.5/24</f>
        <v>1.1041666666666667</v>
      </c>
      <c r="J65">
        <v>1</v>
      </c>
      <c r="K65">
        <f>3.8/4.2</f>
        <v>0.90476190476190466</v>
      </c>
      <c r="L65">
        <f>4.8/4.7</f>
        <v>1.0212765957446808</v>
      </c>
      <c r="M65">
        <f>2.35/2.5</f>
        <v>0.94000000000000006</v>
      </c>
      <c r="N65">
        <f>8.3/9.5</f>
        <v>0.87368421052631584</v>
      </c>
    </row>
    <row r="66" spans="4:14" ht="60" x14ac:dyDescent="0.25">
      <c r="D66" s="3" t="s">
        <v>31</v>
      </c>
      <c r="E66" s="4" t="str">
        <f>_xlfn.CONCAT("('MODIS_NPP_RAST_2014_LR@1')*('clipped_LPS@1'=2)*(",I66,")+('MODIS_NPP_RAST_2014_LR@1')*('clipped_LPS@1'=3)*(",J66,")+('MODIS_NPP_RAST_2014_LR@1')*('clipped_LPS@1'=4)*(",K66,")+('MODIS_NPP_RAST_2014_LR@1')*('clipped_LPS@1'=7)*(",L66,")+('MODIS_NPP_RAST_2014_LR@1')*('clipped_LPS@1'=7)*(",M66,")+('MODIS_NPP_RAST_2014_LR@1')*('clipped_LPS@1'=8)*(",N66,") ) 
")</f>
        <v xml:space="preserve">('MODIS_NPP_RAST_2014_LR@1')*('clipped_LPS@1'=2)*(1.175)+('MODIS_NPP_RAST_2014_LR@1')*('clipped_LPS@1'=3)*(1)+('MODIS_NPP_RAST_2014_LR@1')*('clipped_LPS@1'=4)*(0.892857142857143)+('MODIS_NPP_RAST_2014_LR@1')*('clipped_LPS@1'=7)*(1.01063829787234)+('MODIS_NPP_RAST_2014_LR@1')*('clipped_LPS@1'=7)*(0.86)+('MODIS_NPP_RAST_2014_LR@1')*('clipped_LPS@1'=8)*(0.863157894736842) ) 
</v>
      </c>
      <c r="H66" t="s">
        <v>60</v>
      </c>
      <c r="I66">
        <f>28.2/24</f>
        <v>1.175</v>
      </c>
      <c r="J66">
        <v>1</v>
      </c>
      <c r="K66">
        <f>3.75/4.2</f>
        <v>0.89285714285714279</v>
      </c>
      <c r="L66">
        <f>4.75/4.7</f>
        <v>1.0106382978723405</v>
      </c>
      <c r="M66">
        <f>2.15/2.5</f>
        <v>0.86</v>
      </c>
      <c r="N66">
        <f>8.2/9.5</f>
        <v>0.86315789473684201</v>
      </c>
    </row>
    <row r="67" spans="4:14" ht="84" customHeight="1" x14ac:dyDescent="0.25">
      <c r="D67" s="3"/>
      <c r="E67" s="4"/>
    </row>
    <row r="71" spans="4:14" x14ac:dyDescent="0.25">
      <c r="D71" s="3" t="s">
        <v>32</v>
      </c>
    </row>
    <row r="72" spans="4:14" x14ac:dyDescent="0.25">
      <c r="D72" s="3"/>
      <c r="E72" t="s">
        <v>56</v>
      </c>
    </row>
    <row r="73" spans="4:14" x14ac:dyDescent="0.25">
      <c r="D73" s="3">
        <v>2020</v>
      </c>
    </row>
    <row r="74" spans="4:14" x14ac:dyDescent="0.25">
      <c r="D74" s="3" t="s">
        <v>53</v>
      </c>
      <c r="E74" s="7" t="s">
        <v>82</v>
      </c>
      <c r="F74" t="s">
        <v>86</v>
      </c>
    </row>
    <row r="75" spans="4:14" x14ac:dyDescent="0.25">
      <c r="D75" s="3" t="s">
        <v>54</v>
      </c>
      <c r="E75" s="7" t="s">
        <v>83</v>
      </c>
      <c r="F75" t="s">
        <v>85</v>
      </c>
    </row>
    <row r="76" spans="4:14" x14ac:dyDescent="0.25">
      <c r="D76" s="3" t="s">
        <v>55</v>
      </c>
      <c r="E76" s="7" t="s">
        <v>84</v>
      </c>
      <c r="F76" t="s">
        <v>87</v>
      </c>
    </row>
    <row r="77" spans="4:14" x14ac:dyDescent="0.25">
      <c r="D77" s="3"/>
    </row>
    <row r="78" spans="4:14" x14ac:dyDescent="0.25">
      <c r="D78" s="3" t="s">
        <v>69</v>
      </c>
    </row>
    <row r="79" spans="4:14" x14ac:dyDescent="0.25">
      <c r="D79" s="3" t="s">
        <v>53</v>
      </c>
      <c r="E79" s="7" t="s">
        <v>71</v>
      </c>
    </row>
    <row r="80" spans="4:14" x14ac:dyDescent="0.25">
      <c r="D80" s="3" t="s">
        <v>54</v>
      </c>
      <c r="E80" s="8" t="s">
        <v>72</v>
      </c>
      <c r="F80" t="s">
        <v>74</v>
      </c>
    </row>
    <row r="81" spans="4:9" x14ac:dyDescent="0.25">
      <c r="D81" s="3" t="s">
        <v>55</v>
      </c>
      <c r="E81" s="8" t="s">
        <v>73</v>
      </c>
      <c r="F81" t="s">
        <v>75</v>
      </c>
    </row>
    <row r="82" spans="4:9" x14ac:dyDescent="0.25">
      <c r="D82" s="3"/>
    </row>
    <row r="83" spans="4:9" x14ac:dyDescent="0.25">
      <c r="D83" s="3" t="s">
        <v>70</v>
      </c>
    </row>
    <row r="84" spans="4:9" x14ac:dyDescent="0.25">
      <c r="D84" s="3" t="s">
        <v>53</v>
      </c>
      <c r="E84" s="9" t="s">
        <v>79</v>
      </c>
      <c r="F84" t="s">
        <v>77</v>
      </c>
    </row>
    <row r="85" spans="4:9" x14ac:dyDescent="0.25">
      <c r="D85" s="3" t="s">
        <v>54</v>
      </c>
      <c r="E85" s="10" t="s">
        <v>80</v>
      </c>
      <c r="F85" t="s">
        <v>76</v>
      </c>
    </row>
    <row r="86" spans="4:9" x14ac:dyDescent="0.25">
      <c r="D86" s="3" t="s">
        <v>55</v>
      </c>
      <c r="E86" s="10" t="s">
        <v>81</v>
      </c>
      <c r="F86" t="s">
        <v>78</v>
      </c>
    </row>
    <row r="87" spans="4:9" x14ac:dyDescent="0.25">
      <c r="D87" s="3"/>
    </row>
    <row r="89" spans="4:9" x14ac:dyDescent="0.25">
      <c r="D89" s="3" t="s">
        <v>33</v>
      </c>
      <c r="E89" t="str">
        <f>_xlfn.CONCAT("'MODIS_2020_ALL_final@1'*(((2020_LC_is_grassland@1=1)*(",I94,"))+((2020_LC_is_cropland@1=1)(",I95,"))+((2020_LC_is_shrubland@1=1)*(",I96,")))*(",I89,")*(",I90,")*(",I91,")")</f>
        <v>'MODIS_2020_ALL_final@1'*(((2020_LC_is_grassland@1=1)*(1))+((2020_LC_is_cropland@1=1)(0.34))+((2020_LC_is_shrubland@1=1)*(0.4)))*(0.5)*(0.44)*(0.4015)</v>
      </c>
      <c r="H89" t="s">
        <v>34</v>
      </c>
      <c r="I89">
        <v>0.5</v>
      </c>
    </row>
    <row r="90" spans="4:9" x14ac:dyDescent="0.25">
      <c r="D90" s="3"/>
      <c r="H90" t="s">
        <v>35</v>
      </c>
      <c r="I90">
        <v>0.44</v>
      </c>
    </row>
    <row r="91" spans="4:9" x14ac:dyDescent="0.25">
      <c r="D91" s="3"/>
      <c r="H91" t="s">
        <v>88</v>
      </c>
      <c r="I91" s="12">
        <f>0.365*1.1</f>
        <v>0.40150000000000002</v>
      </c>
    </row>
    <row r="92" spans="4:9" x14ac:dyDescent="0.25">
      <c r="D92" s="3"/>
      <c r="H92" t="s">
        <v>89</v>
      </c>
      <c r="I92" s="12">
        <f>0.4*1.15</f>
        <v>0.45999999999999996</v>
      </c>
    </row>
    <row r="93" spans="4:9" x14ac:dyDescent="0.25">
      <c r="D93" s="3" t="s">
        <v>36</v>
      </c>
      <c r="E93" t="str">
        <f>_xlfn.CONCAT("'MODIS_2020_ALL_final@1'*(((2020_LC_is_cropland@1=1)*(",I102,")))*(",I98,")*(",I99,")*(",I100,")")</f>
        <v>'MODIS_2020_ALL_final@1'*(((2020_LC_is_cropland@1=1)*(0.4)))*(0.4)*(0.5)*(0.7)</v>
      </c>
    </row>
    <row r="94" spans="4:9" x14ac:dyDescent="0.25">
      <c r="D94" s="3"/>
      <c r="H94" t="s">
        <v>37</v>
      </c>
      <c r="I94" s="5">
        <v>1</v>
      </c>
    </row>
    <row r="95" spans="4:9" x14ac:dyDescent="0.25">
      <c r="D95" s="3"/>
      <c r="H95" t="s">
        <v>38</v>
      </c>
      <c r="I95" s="5">
        <v>0.34</v>
      </c>
    </row>
    <row r="96" spans="4:9" x14ac:dyDescent="0.25">
      <c r="D96" s="3" t="s">
        <v>39</v>
      </c>
      <c r="E96" t="s">
        <v>40</v>
      </c>
      <c r="H96" t="s">
        <v>41</v>
      </c>
      <c r="I96" s="5">
        <v>0.4</v>
      </c>
    </row>
    <row r="97" spans="4:9" x14ac:dyDescent="0.25">
      <c r="H97" t="s">
        <v>57</v>
      </c>
      <c r="I97" s="5">
        <v>0.85</v>
      </c>
    </row>
    <row r="98" spans="4:9" x14ac:dyDescent="0.25">
      <c r="D98" s="3" t="s">
        <v>42</v>
      </c>
      <c r="H98" s="6" t="s">
        <v>43</v>
      </c>
      <c r="I98" s="5">
        <v>0.4</v>
      </c>
    </row>
    <row r="99" spans="4:9" x14ac:dyDescent="0.25">
      <c r="H99" s="6" t="s">
        <v>44</v>
      </c>
      <c r="I99" s="5">
        <v>0.5</v>
      </c>
    </row>
    <row r="100" spans="4:9" x14ac:dyDescent="0.25">
      <c r="D100" t="s">
        <v>45</v>
      </c>
      <c r="H100" s="6" t="s">
        <v>46</v>
      </c>
      <c r="I100" s="11">
        <v>0.7</v>
      </c>
    </row>
    <row r="101" spans="4:9" x14ac:dyDescent="0.25">
      <c r="D101" t="s">
        <v>47</v>
      </c>
      <c r="E101" t="str">
        <f>_xlfn.CONCAT("'MODIS_NPP_2050_R4@1'*(((2020_LC_is_grassland@1=1)*(",I94,"))+((2020_LC_is_cropland@1=1)(",I95,"))+((2020_LC_is_shrubland@1=1)*(",I96,")))*(",I89,")*(",I90,")*(",I91,")")</f>
        <v>'MODIS_NPP_2050_R4@1'*(((2020_LC_is_grassland@1=1)*(1))+((2020_LC_is_cropland@1=1)(0.34))+((2020_LC_is_shrubland@1=1)*(0.4)))*(0.5)*(0.44)*(0.4015)</v>
      </c>
    </row>
    <row r="102" spans="4:9" x14ac:dyDescent="0.25">
      <c r="D102" t="s">
        <v>48</v>
      </c>
      <c r="E102" t="str">
        <f>_xlfn.CONCAT("'MODIS_NPP_2050_R8@1'*(((2020_LC_is_grassland)*(",I94,"))+((E75@1=1)(",I95,"))+((2020_LC_is_shrubland@1=1)*(",I96,")))*(",I89,")*(",I90,")*(",I91,")")</f>
        <v>'MODIS_NPP_2050_R8@1'*(((2020_LC_is_grassland)*(1))+((E75@1=1)(0.34))+((2020_LC_is_shrubland@1=1)*(0.4)))*(0.5)*(0.44)*(0.4015)</v>
      </c>
      <c r="H102" t="s">
        <v>49</v>
      </c>
      <c r="I102" s="5">
        <v>0.4</v>
      </c>
    </row>
    <row r="104" spans="4:9" x14ac:dyDescent="0.25">
      <c r="D104" t="s">
        <v>50</v>
      </c>
      <c r="I104" s="5"/>
    </row>
    <row r="105" spans="4:9" x14ac:dyDescent="0.25">
      <c r="D105" t="s">
        <v>47</v>
      </c>
      <c r="E105" t="str">
        <f>_xlfn.CONCAT("'MODIS_NPP_2050_R4@1'*(((2020_LC_is_cropland@1=1)*(",I102,")))*(",I98,")*(",I99,")*(",I100,")")</f>
        <v>'MODIS_NPP_2050_R4@1'*(((2020_LC_is_cropland@1=1)*(0.4)))*(0.4)*(0.5)*(0.7)</v>
      </c>
    </row>
    <row r="106" spans="4:9" x14ac:dyDescent="0.25">
      <c r="D106" t="s">
        <v>48</v>
      </c>
      <c r="E106" t="str">
        <f>_xlfn.CONCAT("'MODIS_NPP_2050_R8@1'*(((2020_LC_is_cropland@1=1)*(",I102,")))*(",I98,")*(",I99,")*(",I100,")")</f>
        <v>'MODIS_NPP_2050_R8@1'*(((2020_LC_is_cropland@1=1)*(0.4)))*(0.4)*(0.5)*(0.7)</v>
      </c>
    </row>
    <row r="108" spans="4:9" x14ac:dyDescent="0.25">
      <c r="D108" s="3" t="s">
        <v>39</v>
      </c>
      <c r="E108" t="s">
        <v>40</v>
      </c>
    </row>
    <row r="109" spans="4:9" x14ac:dyDescent="0.25">
      <c r="D109" t="s">
        <v>51</v>
      </c>
    </row>
    <row r="110" spans="4:9" x14ac:dyDescent="0.25">
      <c r="D110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Raster_logic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Hawkins, James (ILRI)</dc:creator>
  <cp:lastModifiedBy>Hawkins, James (ILRI)</cp:lastModifiedBy>
  <dcterms:created xsi:type="dcterms:W3CDTF">2026-06-17T03:17:30Z</dcterms:created>
  <dcterms:modified xsi:type="dcterms:W3CDTF">2026-08-09T06:51:03Z</dcterms:modified>
</cp:coreProperties>
</file>